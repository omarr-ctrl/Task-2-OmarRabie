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e3\Desktop\Courses &amp; Internships\DecodeLab data analytics\Task 2\"/>
    </mc:Choice>
  </mc:AlternateContent>
  <bookViews>
    <workbookView xWindow="0" yWindow="0" windowWidth="17256" windowHeight="5844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M17" i="2" l="1"/>
  <c r="M16" i="2"/>
  <c r="M15" i="2"/>
  <c r="M14" i="2"/>
  <c r="J18" i="2"/>
  <c r="J17" i="2"/>
  <c r="J16" i="2"/>
  <c r="J15" i="2"/>
  <c r="J14" i="2"/>
  <c r="P8" i="2"/>
  <c r="P7" i="2"/>
  <c r="P6" i="2"/>
  <c r="P5" i="2"/>
  <c r="P4" i="2"/>
  <c r="M8" i="2"/>
  <c r="M7" i="2"/>
  <c r="M6" i="2"/>
  <c r="M5" i="2"/>
  <c r="M4" i="2"/>
  <c r="J4" i="2"/>
  <c r="J10" i="2"/>
  <c r="J9" i="2"/>
  <c r="J8" i="2"/>
  <c r="J7" i="2"/>
  <c r="J6" i="2"/>
  <c r="J5" i="2"/>
  <c r="B17" i="2"/>
  <c r="B16" i="2"/>
  <c r="B15" i="2"/>
  <c r="B14" i="2"/>
  <c r="G4" i="2"/>
  <c r="G5" i="2" s="1"/>
  <c r="G7" i="2" s="1"/>
  <c r="G8" i="2" s="1"/>
  <c r="G3" i="2"/>
  <c r="C8" i="2"/>
  <c r="D9" i="2"/>
  <c r="D8" i="2"/>
  <c r="D7" i="2"/>
  <c r="D6" i="2"/>
  <c r="D5" i="2"/>
  <c r="D4" i="2"/>
  <c r="C9" i="2"/>
  <c r="C7" i="2"/>
  <c r="C6" i="2"/>
  <c r="C5" i="2"/>
  <c r="C4" i="2"/>
  <c r="B9" i="2"/>
  <c r="B8" i="2"/>
  <c r="B7" i="2"/>
  <c r="B6" i="2"/>
  <c r="B5" i="2"/>
  <c r="B4" i="2"/>
  <c r="G6" i="2" l="1"/>
</calcChain>
</file>

<file path=xl/sharedStrings.xml><?xml version="1.0" encoding="utf-8"?>
<sst xmlns="http://schemas.openxmlformats.org/spreadsheetml/2006/main" count="10885" uniqueCount="4324">
  <si>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</si>
  <si>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</si>
  <si>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</si>
  <si>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</si>
  <si>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</si>
  <si>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</si>
  <si>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</si>
  <si>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</si>
  <si>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</si>
  <si>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</si>
  <si>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</si>
  <si>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</si>
  <si>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</si>
  <si>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</si>
  <si>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</si>
  <si>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</si>
  <si>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</si>
  <si>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</si>
  <si>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</si>
  <si>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</si>
  <si>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</si>
  <si>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</si>
  <si>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</si>
  <si>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</si>
  <si>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</si>
  <si>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</si>
  <si>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</si>
  <si>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</si>
  <si>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</si>
  <si>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</si>
  <si>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</si>
  <si>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</si>
  <si>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</si>
  <si>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</si>
  <si>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</si>
  <si>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</si>
  <si>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</si>
  <si>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</si>
  <si>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</si>
  <si>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</si>
  <si>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</si>
  <si>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</si>
  <si>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</si>
  <si>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</si>
  <si>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</si>
  <si>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</si>
  <si>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</si>
  <si>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</si>
  <si>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</si>
  <si>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</si>
  <si>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</si>
  <si>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</si>
  <si>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</si>
  <si>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</si>
  <si>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</si>
  <si>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</si>
  <si>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</si>
  <si>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</si>
  <si>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</si>
  <si>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</si>
  <si>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</si>
  <si>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</si>
  <si>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</si>
  <si>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</si>
  <si>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</si>
  <si>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</si>
  <si>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</si>
  <si>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</si>
  <si>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</si>
  <si>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</si>
  <si>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</si>
  <si>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</si>
  <si>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</si>
  <si>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</si>
  <si>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</si>
  <si>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</si>
  <si>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</si>
  <si>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</si>
  <si>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</si>
  <si>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</si>
  <si>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</si>
  <si>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</si>
  <si>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</si>
  <si>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</si>
  <si>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</si>
  <si>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</si>
  <si>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</si>
  <si>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</si>
  <si>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</si>
  <si>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</si>
  <si>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</si>
  <si>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</si>
  <si>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</si>
  <si>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</si>
  <si>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</si>
  <si>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</si>
  <si>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</si>
  <si>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</si>
  <si>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</si>
  <si>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</si>
  <si>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</si>
  <si>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</si>
  <si>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</si>
  <si>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</si>
  <si>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</si>
  <si>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</si>
  <si>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</si>
  <si>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</si>
  <si>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</si>
  <si>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</si>
  <si>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</si>
  <si>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</si>
  <si>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</si>
  <si>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</si>
  <si>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</si>
  <si>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</si>
  <si>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</si>
  <si>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</si>
  <si>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</si>
  <si>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</si>
  <si>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</si>
  <si>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</si>
  <si>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</si>
  <si>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</si>
  <si>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</si>
  <si>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</si>
  <si>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</si>
  <si>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</si>
  <si>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</si>
  <si>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</si>
  <si>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</si>
  <si>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</si>
  <si>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</si>
  <si>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</si>
  <si>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</si>
  <si>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</si>
  <si>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</si>
  <si>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</si>
  <si>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</si>
  <si>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</si>
  <si>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</si>
  <si>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</si>
  <si>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</si>
  <si>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</si>
  <si>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</si>
  <si>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</si>
  <si>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</si>
  <si>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</si>
  <si>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</si>
  <si>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</si>
  <si>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</si>
  <si>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</si>
  <si>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</si>
  <si>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</si>
  <si>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</si>
  <si>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</si>
  <si>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</si>
  <si>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</si>
  <si>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</si>
  <si>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</si>
  <si>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</si>
  <si>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</si>
  <si>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</si>
  <si>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</si>
  <si>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</si>
  <si>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</si>
  <si>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</si>
  <si>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</si>
  <si>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</si>
  <si>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</si>
  <si>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</si>
  <si>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</si>
  <si>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</si>
  <si>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</si>
  <si>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</si>
  <si>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</si>
  <si>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</si>
  <si>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</si>
  <si>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</si>
  <si>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</si>
  <si>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</si>
  <si>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</si>
  <si>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</si>
  <si>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</si>
  <si>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</si>
  <si>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</si>
  <si>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</si>
  <si>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</si>
  <si>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</si>
  <si>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</si>
  <si>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</si>
  <si>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</si>
  <si>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</si>
  <si>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</si>
  <si>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</si>
  <si>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</si>
  <si>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</si>
  <si>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</si>
  <si>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</si>
  <si>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</si>
  <si>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</si>
  <si>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</si>
  <si>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</si>
  <si>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</si>
  <si>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</si>
  <si>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</si>
  <si>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</si>
  <si>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</si>
  <si>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</si>
  <si>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</si>
  <si>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</si>
  <si>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</si>
  <si>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</si>
  <si>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</si>
  <si>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</si>
  <si>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</si>
  <si>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</si>
  <si>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</si>
  <si>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</si>
  <si>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</si>
  <si>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</si>
  <si>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</si>
  <si>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</si>
  <si>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</si>
  <si>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</si>
  <si>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</si>
  <si>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</si>
  <si>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</si>
  <si>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</si>
  <si>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</si>
  <si>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</si>
  <si>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</si>
  <si>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</si>
  <si>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</si>
  <si>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</si>
  <si>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</si>
  <si>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</si>
  <si>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</si>
  <si>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</si>
  <si>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</si>
  <si>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</si>
  <si>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</si>
  <si>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</si>
  <si>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</si>
  <si>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</si>
  <si>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</si>
  <si>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</si>
  <si>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</si>
  <si>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</si>
  <si>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</si>
  <si>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</si>
  <si>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</si>
  <si>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</si>
  <si>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</si>
  <si>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</si>
  <si>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</si>
  <si>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</si>
  <si>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</si>
  <si>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</si>
  <si>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</si>
  <si>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</si>
  <si>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</si>
  <si>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</si>
  <si>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</si>
  <si>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</si>
  <si>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</si>
  <si>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</si>
  <si>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</si>
  <si>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</si>
  <si>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</si>
  <si>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</si>
  <si>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</si>
  <si>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</si>
  <si>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</si>
  <si>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</si>
  <si>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</si>
  <si>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</si>
  <si>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</si>
  <si>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</si>
  <si>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</si>
  <si>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</si>
  <si>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</si>
  <si>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</si>
  <si>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</si>
  <si>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</si>
  <si>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</si>
  <si>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</si>
  <si>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</si>
  <si>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</si>
  <si>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</si>
  <si>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</si>
  <si>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</si>
  <si>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</si>
  <si>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</si>
  <si>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</si>
  <si>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</si>
  <si>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</si>
  <si>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</si>
  <si>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</si>
  <si>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</si>
  <si>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</si>
  <si>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</si>
  <si>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</si>
  <si>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</si>
  <si>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</si>
  <si>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</si>
  <si>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</si>
  <si>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</si>
  <si>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</si>
  <si>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</si>
  <si>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</si>
  <si>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</si>
  <si>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</si>
  <si>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</si>
  <si>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</si>
  <si>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</si>
  <si>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</si>
  <si>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</si>
  <si>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</si>
  <si>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</si>
  <si>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</si>
  <si>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</si>
  <si>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</si>
  <si>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</si>
  <si>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</si>
  <si>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</si>
  <si>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</si>
  <si>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</si>
  <si>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</si>
  <si>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</si>
  <si>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</si>
  <si>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</si>
  <si>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</si>
  <si>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</si>
  <si>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</si>
  <si>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</si>
  <si>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</si>
  <si>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</si>
  <si>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</si>
  <si>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</si>
  <si>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</si>
  <si>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</si>
  <si>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</si>
  <si>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</si>
  <si>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</si>
  <si>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</si>
  <si>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</si>
  <si>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</si>
  <si>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</si>
  <si>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</si>
  <si>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</si>
  <si>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</si>
  <si>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</si>
  <si>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</si>
  <si>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</si>
  <si>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</si>
  <si>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</si>
  <si>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</si>
  <si>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</si>
  <si>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</si>
  <si>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</si>
  <si>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</si>
  <si>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</si>
  <si>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</si>
  <si>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</si>
  <si>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</si>
  <si>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</si>
  <si>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</si>
  <si>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</si>
  <si>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</si>
  <si>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</si>
  <si>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</si>
  <si>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</si>
  <si>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</si>
  <si>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</si>
  <si>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</si>
  <si>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</si>
  <si>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</si>
  <si>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</si>
  <si>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</si>
  <si>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</si>
  <si>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</si>
  <si>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</si>
  <si>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</si>
  <si>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</si>
  <si>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</si>
  <si>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</si>
  <si>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</si>
  <si>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</si>
  <si>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</si>
  <si>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</si>
  <si>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</si>
  <si>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</si>
  <si>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</si>
  <si>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</si>
  <si>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</si>
  <si>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</si>
  <si>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</si>
  <si>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</si>
  <si>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</si>
  <si>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</si>
  <si>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</si>
  <si>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</si>
  <si>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</si>
  <si>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</si>
  <si>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</si>
  <si>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</si>
  <si>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</si>
  <si>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</si>
  <si>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</si>
  <si>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</si>
  <si>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</si>
  <si>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</si>
  <si>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</si>
  <si>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</si>
  <si>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</si>
  <si>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</si>
  <si>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</si>
  <si>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</si>
  <si>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</si>
  <si>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</si>
  <si>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</si>
  <si>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</si>
  <si>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</si>
  <si>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</si>
  <si>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</si>
  <si>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</si>
  <si>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</si>
  <si>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</si>
  <si>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</si>
  <si>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</si>
  <si>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</si>
  <si>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</si>
  <si>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</si>
  <si>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</si>
  <si>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</si>
  <si>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</si>
  <si>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</si>
  <si>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</si>
  <si>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</si>
  <si>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</si>
  <si>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</si>
  <si>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</si>
  <si>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</si>
  <si>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</si>
  <si>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</si>
  <si>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</si>
  <si>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</si>
  <si>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</si>
  <si>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</si>
  <si>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</si>
  <si>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</si>
  <si>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</si>
  <si>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</si>
  <si>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</si>
  <si>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</si>
  <si>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</si>
  <si>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</si>
  <si>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</si>
  <si>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</si>
  <si>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</si>
  <si>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</si>
  <si>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</si>
  <si>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</si>
  <si>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</si>
  <si>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</si>
  <si>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</si>
  <si>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</si>
  <si>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</si>
  <si>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</si>
  <si>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</si>
  <si>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</si>
  <si>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</si>
  <si>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</si>
  <si>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</si>
  <si>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</si>
  <si>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</si>
  <si>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</si>
  <si>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</si>
  <si>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</si>
  <si>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</si>
  <si>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</si>
  <si>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</si>
  <si>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</si>
  <si>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</si>
  <si>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</si>
  <si>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</si>
  <si>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</si>
  <si>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</si>
  <si>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</si>
  <si>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</si>
  <si>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</si>
  <si>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</si>
  <si>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</si>
  <si>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</si>
  <si>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</si>
  <si>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</si>
  <si>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</si>
  <si>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</si>
  <si>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</si>
  <si>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</si>
  <si>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</si>
  <si>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</si>
  <si>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</si>
  <si>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</si>
  <si>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</si>
  <si>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</si>
  <si>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</si>
  <si>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</si>
  <si>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</si>
  <si>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</si>
  <si>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</si>
  <si>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</si>
  <si>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</si>
  <si>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</si>
  <si>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</si>
  <si>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</si>
  <si>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</si>
  <si>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</si>
  <si>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</si>
  <si>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</si>
  <si>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</si>
  <si>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</si>
  <si>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</si>
  <si>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</si>
  <si>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</si>
  <si>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</si>
  <si>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</si>
  <si>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</si>
  <si>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</si>
  <si>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</si>
  <si>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</si>
  <si>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</si>
  <si>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</si>
  <si>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</si>
  <si>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</si>
  <si>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</si>
  <si>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</si>
  <si>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</si>
  <si>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</si>
  <si>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</si>
  <si>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</si>
  <si>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</si>
  <si>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</si>
  <si>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</si>
  <si>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</si>
  <si>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</si>
  <si>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</si>
  <si>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</si>
  <si>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</si>
  <si>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</si>
  <si>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</si>
  <si>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</si>
  <si>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</si>
  <si>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</si>
  <si>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</si>
  <si>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</si>
  <si>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</si>
  <si>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</si>
  <si>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</si>
  <si>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</si>
  <si>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</si>
  <si>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</si>
  <si>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</si>
  <si>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</si>
  <si>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</si>
  <si>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</si>
  <si>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</si>
  <si>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</si>
  <si>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</si>
  <si>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</si>
  <si>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</si>
  <si>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</si>
  <si>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</si>
  <si>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</si>
  <si>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</si>
  <si>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</si>
  <si>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</si>
  <si>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</si>
  <si>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</si>
  <si>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</si>
  <si>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</si>
  <si>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</si>
  <si>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</si>
  <si>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</si>
  <si>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</si>
  <si>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</si>
  <si>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</si>
  <si>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</si>
  <si>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</si>
  <si>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</si>
  <si>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</si>
  <si>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</si>
  <si>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</si>
  <si>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</si>
  <si>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</si>
  <si>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</si>
  <si>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</si>
  <si>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</si>
  <si>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</si>
  <si>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</si>
  <si>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</si>
  <si>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</si>
  <si>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</si>
  <si>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</si>
  <si>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</si>
  <si>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</si>
  <si>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</si>
  <si>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</si>
  <si>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</si>
  <si>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</si>
  <si>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</si>
  <si>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</si>
  <si>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</si>
  <si>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</si>
  <si>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</si>
  <si>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</si>
  <si>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</si>
  <si>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</si>
  <si>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</si>
  <si>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</si>
  <si>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</si>
  <si>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</si>
  <si>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</si>
  <si>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</si>
  <si>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</si>
  <si>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</si>
  <si>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</si>
  <si>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</si>
  <si>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</si>
  <si>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</si>
  <si>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</si>
  <si>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</si>
  <si>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</si>
  <si>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</si>
  <si>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</si>
  <si>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</si>
  <si>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</si>
  <si>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</si>
  <si>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</si>
  <si>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</si>
  <si>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</si>
  <si>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</si>
  <si>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</si>
  <si>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</si>
  <si>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</si>
  <si>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</si>
  <si>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</si>
  <si>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</si>
  <si>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</si>
  <si>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</si>
  <si>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</si>
  <si>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</si>
  <si>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</si>
  <si>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</si>
  <si>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</si>
  <si>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</si>
  <si>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</si>
  <si>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</si>
  <si>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</si>
  <si>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</si>
  <si>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</si>
  <si>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</si>
  <si>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</si>
  <si>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</si>
  <si>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</si>
  <si>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</si>
  <si>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</si>
  <si>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</si>
  <si>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</si>
  <si>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</si>
  <si>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</si>
  <si>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</si>
  <si>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</si>
  <si>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</si>
  <si>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</si>
  <si>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</si>
  <si>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</si>
  <si>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</si>
  <si>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</si>
  <si>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</si>
  <si>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</si>
  <si>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</si>
  <si>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</si>
  <si>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</si>
  <si>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</si>
  <si>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</si>
  <si>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</si>
  <si>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</si>
  <si>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</si>
  <si>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</si>
  <si>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</si>
  <si>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</si>
  <si>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</si>
  <si>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</si>
  <si>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</si>
  <si>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</si>
  <si>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</si>
  <si>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</si>
  <si>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</si>
  <si>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</si>
  <si>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</si>
  <si>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</si>
  <si>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</si>
  <si>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</si>
  <si>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</si>
  <si>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</si>
  <si>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</si>
  <si>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</si>
  <si>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</si>
  <si>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</si>
  <si>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</si>
  <si>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</si>
  <si>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</si>
  <si>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</si>
  <si>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</si>
  <si>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</si>
  <si>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</si>
  <si>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</si>
  <si>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</si>
  <si>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</si>
  <si>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</si>
  <si>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</si>
  <si>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</si>
  <si>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</si>
  <si>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</si>
  <si>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</si>
  <si>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</si>
  <si>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</si>
  <si>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</si>
  <si>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</si>
  <si>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</si>
  <si>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</si>
  <si>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</si>
  <si>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</si>
  <si>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</si>
  <si>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</si>
  <si>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</si>
  <si>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</si>
  <si>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</si>
  <si>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</si>
  <si>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</si>
  <si>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</si>
  <si>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</si>
  <si>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</si>
  <si>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</si>
  <si>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</si>
  <si>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</si>
  <si>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</si>
  <si>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</si>
  <si>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</si>
  <si>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</si>
  <si>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</si>
  <si>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</si>
  <si>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</si>
  <si>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</si>
  <si>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</si>
  <si>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</si>
  <si>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</si>
  <si>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</si>
  <si>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</si>
  <si>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</si>
  <si>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</si>
  <si>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</si>
  <si>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</si>
  <si>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</si>
  <si>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</si>
  <si>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</si>
  <si>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</si>
  <si>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</si>
  <si>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</si>
  <si>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</si>
  <si>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</si>
  <si>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</si>
  <si>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</si>
  <si>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</si>
  <si>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</si>
  <si>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</si>
  <si>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</si>
  <si>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</si>
  <si>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</si>
  <si>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</si>
  <si>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</si>
  <si>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</si>
  <si>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</si>
  <si>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</si>
  <si>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</si>
  <si>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</si>
  <si>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</si>
  <si>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</si>
  <si>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</si>
  <si>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</si>
  <si>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</si>
  <si>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</si>
  <si>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</si>
  <si>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</si>
  <si>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</si>
  <si>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</si>
  <si>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</si>
  <si>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</si>
  <si>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</si>
  <si>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</si>
  <si>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</si>
  <si>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</si>
  <si>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</si>
  <si>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</si>
  <si>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</si>
  <si>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</si>
  <si>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</si>
  <si>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</si>
  <si>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</si>
  <si>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</si>
  <si>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</si>
  <si>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</si>
  <si>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</si>
  <si>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</si>
  <si>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</si>
  <si>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</si>
  <si>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</si>
  <si>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</si>
  <si>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</si>
  <si>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</si>
  <si>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</si>
  <si>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</si>
  <si>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</si>
  <si>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</si>
  <si>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</si>
  <si>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</si>
  <si>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</si>
  <si>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</si>
  <si>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</si>
  <si>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</si>
  <si>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</si>
  <si>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</si>
  <si>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</si>
  <si>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</si>
  <si>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</si>
  <si>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</si>
  <si>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</si>
  <si>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</si>
  <si>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</si>
  <si>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</si>
  <si>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</si>
  <si>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</si>
  <si>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</si>
  <si>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</si>
  <si>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</si>
  <si>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</si>
  <si>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</si>
  <si>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</si>
  <si>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</si>
  <si>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</si>
  <si>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</si>
  <si>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</si>
  <si>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</si>
  <si>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</si>
  <si>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</si>
  <si>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</si>
  <si>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</si>
  <si>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</si>
  <si>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</si>
  <si>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</si>
  <si>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</si>
  <si>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</si>
  <si>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</si>
  <si>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</si>
  <si>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</si>
  <si>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</si>
  <si>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</si>
  <si>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</si>
  <si>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</si>
  <si>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</si>
  <si>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</si>
  <si>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</si>
  <si>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</si>
  <si>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</si>
  <si>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</si>
  <si>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</si>
  <si>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</si>
  <si>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</si>
  <si>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</si>
  <si>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</si>
  <si>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</si>
  <si>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</si>
  <si>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</si>
  <si>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</si>
  <si>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</si>
  <si>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</si>
  <si>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</si>
  <si>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</si>
  <si>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</si>
  <si>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</si>
  <si>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</si>
  <si>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</si>
  <si>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</si>
  <si>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</si>
  <si>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</si>
  <si>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</si>
  <si>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</si>
  <si>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</si>
  <si>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</si>
  <si>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</si>
  <si>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</si>
  <si>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</si>
  <si>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</si>
  <si>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</si>
  <si>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</si>
  <si>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</si>
  <si>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</si>
  <si>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</si>
  <si>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</si>
  <si>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</si>
  <si>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</si>
  <si>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</si>
  <si>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</si>
  <si>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</si>
  <si>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</si>
  <si>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</si>
  <si>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</si>
  <si>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</si>
  <si>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</si>
  <si>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</si>
  <si>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</si>
  <si>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</si>
  <si>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</si>
  <si>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</si>
  <si>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</si>
  <si>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</si>
  <si>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</si>
  <si>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</si>
  <si>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</si>
  <si>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</si>
  <si>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</si>
  <si>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</si>
  <si>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</si>
  <si>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</si>
  <si>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</si>
  <si>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</si>
  <si>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</si>
  <si>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</si>
  <si>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</si>
  <si>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</si>
  <si>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</si>
  <si>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</si>
  <si>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</si>
  <si>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</si>
  <si>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</si>
  <si>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</si>
  <si>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</si>
  <si>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</si>
  <si>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</si>
  <si>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</si>
  <si>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</si>
  <si>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</si>
  <si>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</si>
  <si>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</si>
  <si>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</si>
  <si>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</si>
  <si>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</si>
  <si>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</si>
  <si>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</si>
  <si>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</si>
  <si>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</si>
  <si>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</si>
  <si>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</si>
  <si>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</si>
  <si>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</si>
  <si>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</si>
  <si>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</si>
  <si>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</si>
  <si>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</si>
  <si>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</si>
  <si>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</si>
  <si>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</si>
  <si>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</si>
  <si>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</si>
  <si>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</si>
  <si>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</si>
  <si>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</si>
  <si>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</si>
  <si>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</si>
  <si>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</si>
  <si>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</si>
  <si>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</si>
  <si>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</si>
  <si>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</si>
  <si>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</si>
  <si>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</si>
  <si>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</si>
  <si>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</si>
  <si>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</si>
  <si>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</si>
  <si>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</si>
  <si>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</si>
  <si>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</si>
  <si>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</si>
  <si>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</si>
  <si>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</si>
  <si>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</si>
  <si>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</si>
  <si>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</si>
  <si>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</si>
  <si>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</si>
  <si>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</si>
  <si>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</si>
  <si>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</si>
  <si>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</si>
  <si>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</si>
  <si>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</si>
  <si>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</si>
  <si>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</si>
  <si>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</si>
  <si>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</si>
  <si>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</si>
  <si>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</si>
  <si>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</si>
  <si>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</si>
  <si>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</si>
  <si>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</si>
  <si>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</si>
  <si>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</si>
  <si>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</si>
  <si>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</si>
  <si>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</si>
  <si>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</si>
  <si>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</si>
  <si>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</si>
  <si>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</si>
  <si>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</si>
  <si>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</si>
  <si>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</si>
  <si>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</si>
  <si>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</si>
  <si>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</si>
  <si>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</si>
  <si>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</si>
  <si>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</si>
  <si>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</si>
  <si>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</si>
  <si>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</si>
  <si>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</si>
  <si>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</si>
  <si>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</si>
  <si>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</si>
  <si>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</si>
  <si>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</si>
  <si>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</si>
  <si>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</si>
  <si>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</si>
  <si>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</si>
  <si>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</si>
  <si>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</si>
  <si>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</si>
  <si>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</si>
  <si>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</si>
  <si>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</si>
  <si>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</si>
  <si>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</si>
  <si>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</si>
  <si>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</si>
  <si>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</si>
  <si>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</si>
  <si>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</si>
  <si>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</si>
  <si>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</si>
  <si>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</si>
  <si>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</si>
  <si>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</si>
  <si>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</si>
  <si>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</si>
  <si>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</si>
  <si>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</si>
  <si>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</si>
  <si>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</si>
  <si>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</si>
  <si>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</si>
  <si>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</si>
  <si>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</si>
  <si>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</si>
  <si>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</si>
  <si>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</si>
  <si>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</si>
  <si>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</si>
  <si>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</si>
  <si>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</si>
  <si>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</si>
  <si>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</si>
  <si>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</si>
  <si>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</si>
  <si>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</si>
  <si>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</si>
  <si>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</si>
  <si>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</si>
  <si>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</si>
  <si>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</si>
  <si>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</si>
  <si>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</si>
  <si>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</si>
  <si>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</si>
  <si>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</si>
  <si>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</si>
  <si>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</si>
  <si>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</si>
  <si>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</si>
  <si>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</si>
  <si>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</si>
  <si>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</si>
  <si>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</si>
  <si>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</si>
  <si>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</si>
  <si>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</si>
  <si>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</si>
  <si>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</si>
  <si>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</si>
  <si>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</si>
  <si>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</si>
  <si>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</si>
  <si>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</si>
  <si>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</si>
  <si>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</si>
  <si>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</si>
  <si>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</si>
  <si>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</si>
  <si>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</si>
  <si>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</si>
  <si>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</si>
  <si>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</si>
  <si>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</si>
  <si>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</si>
  <si>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</si>
  <si>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</si>
  <si>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</si>
  <si>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</si>
  <si>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</si>
  <si>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</si>
  <si>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</si>
  <si>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</si>
  <si>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</si>
  <si>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</si>
  <si>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</si>
  <si>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</si>
  <si>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</si>
  <si>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</si>
  <si>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</si>
  <si>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</si>
  <si>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</si>
  <si>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</si>
  <si>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</si>
  <si>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</si>
  <si>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</si>
  <si>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</si>
  <si>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</si>
  <si>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</si>
  <si>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</si>
  <si>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</si>
  <si>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</si>
  <si>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</si>
  <si>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</si>
  <si>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</si>
  <si>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</si>
  <si>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</si>
  <si>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</si>
  <si>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</si>
  <si>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</si>
  <si>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</si>
  <si>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</si>
  <si>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</si>
  <si>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</si>
  <si>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</si>
  <si>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</si>
  <si>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</si>
  <si>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</si>
  <si>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</si>
  <si>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</si>
  <si>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</si>
  <si>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</si>
  <si>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</si>
  <si>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</si>
  <si>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</si>
  <si>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</si>
  <si>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</si>
  <si>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</si>
  <si>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</si>
  <si>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</si>
  <si>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</si>
  <si>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</si>
  <si>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</si>
  <si>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</si>
  <si>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</si>
  <si>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</si>
  <si>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</si>
  <si>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</si>
  <si>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</si>
  <si>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</si>
  <si>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</si>
  <si>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</si>
  <si>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</si>
  <si>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</si>
  <si>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</si>
  <si>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</si>
  <si>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</si>
  <si>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</si>
  <si>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</si>
  <si>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</si>
  <si>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</si>
  <si>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</si>
  <si>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</si>
  <si>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</si>
  <si>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</si>
  <si>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</si>
  <si>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</si>
  <si>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</si>
  <si>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</si>
  <si>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</si>
  <si>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</si>
  <si>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</si>
  <si>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</si>
  <si>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</si>
  <si>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</si>
  <si>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</si>
  <si>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</si>
  <si>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</si>
  <si>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</si>
  <si>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</si>
  <si>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</si>
  <si>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</si>
  <si>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</si>
  <si>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</si>
  <si>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</si>
  <si>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</si>
  <si>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</si>
  <si>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</si>
  <si>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</si>
  <si>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</si>
  <si>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</si>
  <si>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</si>
  <si>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</si>
  <si>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</si>
  <si>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</si>
  <si>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</si>
  <si>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</si>
  <si>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</si>
  <si>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</si>
  <si>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</si>
  <si>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</si>
  <si>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</si>
  <si>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</si>
  <si>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</si>
  <si>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</si>
  <si>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</si>
  <si>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</si>
  <si>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</si>
  <si>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</si>
  <si>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</si>
  <si>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</si>
  <si>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</si>
  <si>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</si>
  <si>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</si>
  <si>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</si>
  <si>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</si>
  <si>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</si>
  <si>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</si>
  <si>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</si>
  <si>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</si>
  <si>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</si>
  <si>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</si>
  <si>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</si>
  <si>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</si>
  <si>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</si>
  <si>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</si>
  <si>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</si>
  <si>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</si>
  <si>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</si>
  <si>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</si>
  <si>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</si>
  <si>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</si>
  <si>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</si>
  <si>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</si>
  <si>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</si>
  <si>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</si>
  <si>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</si>
  <si>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</si>
  <si>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</si>
  <si>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</si>
  <si>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</si>
  <si>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</si>
  <si>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</si>
  <si>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</si>
  <si>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</si>
  <si>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</si>
  <si>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</si>
  <si>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</si>
  <si>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</si>
  <si>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</si>
  <si>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</si>
  <si>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</si>
  <si>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</si>
  <si>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</si>
  <si>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</si>
  <si>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</si>
  <si>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</si>
  <si>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</si>
  <si>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</si>
  <si>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</si>
  <si>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</si>
  <si>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</si>
  <si>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</si>
  <si>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</si>
  <si>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</si>
  <si>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</si>
  <si>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</si>
  <si>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</si>
  <si>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</si>
  <si>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</si>
  <si>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</si>
  <si>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</si>
  <si>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</si>
  <si>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</si>
  <si>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</si>
  <si>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</si>
  <si>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</si>
  <si>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</si>
  <si>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</si>
  <si>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</si>
  <si>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</si>
  <si>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</si>
  <si>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</si>
  <si>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</si>
  <si>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</si>
  <si>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</si>
  <si>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</si>
  <si>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</si>
  <si>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</si>
  <si>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</si>
  <si>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</si>
  <si>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</si>
  <si>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</si>
  <si>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</si>
  <si>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</si>
  <si>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</si>
  <si>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</si>
  <si>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</si>
  <si>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</si>
  <si>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</si>
  <si>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</si>
  <si>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</si>
  <si>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</si>
  <si>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</si>
  <si>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</si>
  <si>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</si>
  <si>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</si>
  <si>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</si>
  <si>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</si>
  <si>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</si>
  <si>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</si>
  <si>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</si>
  <si>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</si>
  <si>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</si>
  <si>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</si>
  <si>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</si>
  <si>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</si>
  <si>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</si>
  <si>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</si>
  <si>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</si>
  <si>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</si>
  <si>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</si>
  <si>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</si>
  <si>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</si>
  <si>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</si>
  <si>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</si>
  <si>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</si>
  <si>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</si>
  <si>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</si>
  <si>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</si>
  <si>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</si>
  <si>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</si>
  <si>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</si>
  <si>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</si>
  <si>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</si>
  <si>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</si>
  <si>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</si>
  <si>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</si>
  <si>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</si>
  <si>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</si>
  <si>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</si>
  <si>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</si>
  <si>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</si>
  <si>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</si>
  <si>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</si>
  <si>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</si>
  <si>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</si>
  <si>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</si>
  <si>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</si>
  <si>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</si>
  <si>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</si>
  <si>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</si>
  <si>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</si>
  <si>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</si>
  <si>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</si>
  <si>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</si>
  <si>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</si>
  <si>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</si>
  <si>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</si>
  <si>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</si>
  <si>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</si>
  <si>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</si>
  <si>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</si>
  <si>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</si>
  <si>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</si>
  <si>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</si>
  <si>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</si>
  <si>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</si>
  <si>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</si>
  <si>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</si>
  <si>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</si>
  <si>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</si>
  <si>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</si>
  <si>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</si>
  <si>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</si>
  <si>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</si>
  <si>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</si>
  <si>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</si>
  <si>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</si>
  <si>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</si>
  <si>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</si>
  <si>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</si>
  <si>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</si>
  <si>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</si>
  <si>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</si>
  <si>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</si>
  <si>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</si>
  <si>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</si>
  <si>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</si>
  <si>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</si>
  <si>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</si>
  <si>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</si>
  <si>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</si>
  <si>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</si>
  <si>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</si>
  <si>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</si>
  <si>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</si>
  <si>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</si>
  <si>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</si>
  <si>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</si>
  <si>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</si>
  <si>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</si>
  <si>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</si>
  <si>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</si>
  <si>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</si>
  <si>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</si>
  <si>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</si>
  <si>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</si>
  <si>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</si>
  <si>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</si>
  <si>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</si>
  <si>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</si>
  <si>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</si>
  <si>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</si>
  <si>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</si>
  <si>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</si>
  <si>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</si>
  <si>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</si>
  <si>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</si>
  <si>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</si>
  <si>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</si>
  <si>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</si>
  <si>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</si>
  <si>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</si>
  <si>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</si>
  <si>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</si>
  <si>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</si>
  <si>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</si>
  <si>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</si>
  <si>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</si>
  <si>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</si>
  <si>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</si>
  <si>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</si>
  <si>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</si>
  <si>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</si>
  <si>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</si>
  <si>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</si>
  <si>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</si>
  <si>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</si>
  <si>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</si>
  <si>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</si>
  <si>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</si>
  <si>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</si>
  <si>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</si>
  <si>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</si>
  <si>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</si>
  <si>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</si>
  <si>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</si>
  <si>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</si>
  <si>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</si>
  <si>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</si>
  <si>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</si>
  <si>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</si>
  <si>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</si>
  <si>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</si>
  <si>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</si>
  <si>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</si>
  <si>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</si>
  <si>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</si>
  <si>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</si>
  <si>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</si>
  <si>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</si>
  <si>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</si>
  <si>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</si>
  <si>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</si>
  <si>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</si>
  <si>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</si>
  <si>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</si>
  <si>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</si>
  <si>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</si>
  <si>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</si>
  <si>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</si>
  <si>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</si>
  <si>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</si>
  <si>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</si>
  <si>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</si>
  <si>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</si>
  <si>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</si>
  <si>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</si>
  <si>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</si>
  <si>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</si>
  <si>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</si>
  <si>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</si>
  <si>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</si>
  <si>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</si>
  <si>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</si>
  <si>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</si>
  <si>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</si>
  <si>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</si>
  <si>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</si>
  <si>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</si>
  <si>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</si>
  <si>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</si>
  <si>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</si>
  <si>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</si>
  <si>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</si>
  <si>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</si>
  <si>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</si>
  <si>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</si>
  <si>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</si>
  <si>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</si>
  <si>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</si>
  <si>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</si>
  <si>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</si>
  <si>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</si>
  <si>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</si>
  <si>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</si>
  <si>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</si>
  <si>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</si>
  <si>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</si>
  <si>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</si>
  <si>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</si>
  <si>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</si>
  <si>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</si>
  <si>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</si>
  <si>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</si>
  <si>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</si>
  <si>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</si>
  <si>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</si>
  <si>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</si>
  <si>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</si>
  <si>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</si>
  <si>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</si>
  <si>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</si>
  <si>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</si>
  <si>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</si>
  <si>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</si>
  <si>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</si>
  <si>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</si>
  <si>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</si>
  <si>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</si>
  <si>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</si>
  <si>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</si>
  <si>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</si>
  <si>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</si>
  <si>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</si>
  <si>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</si>
  <si>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</si>
  <si>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</si>
  <si>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</si>
  <si>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</si>
  <si>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</si>
  <si>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</si>
  <si>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</si>
  <si>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</si>
  <si>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</si>
  <si>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</si>
  <si>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</si>
  <si>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</si>
  <si>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</si>
  <si>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</si>
  <si>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</si>
  <si>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</si>
  <si>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</si>
  <si>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</si>
  <si>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</si>
  <si>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</si>
  <si>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</si>
  <si>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</si>
  <si>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</si>
  <si>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</si>
  <si>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</si>
  <si>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</si>
  <si>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</si>
  <si>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</si>
  <si>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</si>
  <si>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</si>
  <si>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</si>
  <si>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</si>
  <si>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</si>
  <si>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</si>
  <si>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</si>
  <si>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</si>
  <si>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</si>
  <si>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</si>
  <si>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</si>
  <si>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</si>
  <si>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</si>
  <si>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</si>
  <si>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</si>
  <si>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</si>
  <si>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</si>
  <si>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</si>
  <si>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</si>
  <si>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</si>
  <si>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</si>
  <si>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</si>
  <si>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</si>
  <si>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</si>
  <si>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</si>
  <si>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</si>
  <si>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</si>
  <si>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</si>
  <si>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</si>
  <si>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</si>
  <si>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</si>
  <si>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</si>
  <si>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</si>
  <si>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</si>
  <si>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</si>
  <si>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</si>
  <si>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</si>
  <si>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</si>
  <si>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</si>
  <si>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</si>
  <si>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</si>
  <si>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</si>
  <si>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</si>
  <si>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</si>
  <si>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</si>
  <si>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</si>
  <si>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</si>
  <si>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</si>
  <si>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</si>
  <si>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</si>
  <si>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</si>
  <si>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</si>
  <si>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</si>
  <si>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</si>
  <si>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</si>
  <si>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</si>
  <si>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</si>
  <si>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</si>
  <si>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</si>
  <si>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</si>
  <si>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</si>
  <si>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</si>
  <si>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</si>
  <si>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</si>
  <si>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</si>
  <si>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</si>
  <si>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</si>
  <si>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</si>
  <si>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</si>
  <si>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</si>
  <si>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</si>
  <si>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</si>
  <si>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</si>
  <si>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</si>
  <si>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</si>
  <si>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</si>
  <si>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</si>
  <si>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</si>
  <si>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</si>
  <si>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</si>
  <si>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</si>
  <si>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</si>
  <si>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</si>
  <si>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</si>
  <si>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</si>
  <si>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</si>
  <si>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</si>
  <si>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</si>
  <si>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</si>
  <si>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</si>
  <si>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</si>
  <si>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</si>
  <si>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</si>
  <si>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</si>
  <si>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</si>
  <si>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</si>
  <si>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</si>
  <si>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</si>
  <si>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</si>
  <si>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</si>
  <si>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</si>
  <si>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</si>
  <si>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</si>
  <si>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</si>
  <si>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</si>
  <si>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</si>
  <si>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</si>
  <si>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</si>
  <si>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</si>
  <si>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</si>
  <si>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</si>
  <si>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</si>
  <si>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</si>
  <si>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</si>
  <si>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</si>
  <si>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</si>
  <si>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</si>
  <si>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</si>
  <si>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</si>
  <si>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</si>
  <si>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</si>
  <si>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</si>
  <si>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</si>
  <si>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</si>
  <si>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</si>
  <si>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</si>
  <si>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</si>
  <si>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</si>
  <si>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</si>
  <si>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</si>
  <si>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</si>
  <si>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</si>
  <si>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</si>
  <si>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</si>
  <si>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</si>
  <si>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</si>
  <si>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</si>
  <si>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</si>
  <si>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</si>
  <si>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</si>
  <si>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</si>
  <si>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</si>
  <si>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</si>
  <si>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</si>
  <si>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</si>
  <si>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</si>
  <si>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</si>
  <si>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</si>
  <si>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</si>
  <si>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</si>
  <si>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</si>
  <si>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</si>
  <si>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</si>
  <si>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</si>
  <si>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</si>
  <si>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</si>
  <si>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</si>
  <si>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</si>
  <si>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</si>
  <si>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</si>
  <si>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</si>
  <si>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</si>
  <si>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</si>
  <si>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</si>
  <si>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</si>
  <si>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</si>
  <si>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</si>
  <si>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</si>
  <si>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</si>
  <si>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</si>
  <si>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</si>
  <si>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</si>
  <si>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</si>
  <si>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</si>
  <si>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</si>
  <si>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</si>
  <si>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</si>
  <si>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</si>
  <si>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</si>
  <si>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</si>
  <si>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</si>
  <si>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</si>
  <si>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</si>
  <si>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</si>
  <si>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</si>
  <si>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</si>
  <si>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</si>
  <si>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</si>
  <si>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</si>
  <si>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</si>
  <si>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</si>
  <si>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</si>
  <si>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</si>
  <si>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</si>
  <si>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</si>
  <si>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</si>
  <si>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</si>
  <si>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</si>
  <si>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</si>
  <si>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</si>
  <si>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</si>
  <si>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</si>
  <si>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</si>
  <si>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</si>
  <si>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</si>
  <si>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</si>
  <si>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</si>
  <si>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</si>
  <si>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</si>
  <si>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</si>
  <si>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</si>
  <si>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</si>
  <si>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</si>
  <si>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</si>
  <si>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</si>
  <si>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</si>
  <si>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</si>
  <si>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</si>
  <si>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</si>
  <si>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</si>
  <si>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</si>
  <si>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</si>
  <si>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</si>
  <si>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</si>
  <si>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</si>
  <si>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</si>
  <si>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</si>
  <si>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</si>
  <si>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</si>
  <si>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</si>
  <si>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</si>
  <si>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</si>
  <si>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</si>
  <si>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</si>
  <si>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</si>
  <si>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</si>
  <si>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</si>
  <si>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</si>
  <si>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</si>
  <si>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</si>
  <si>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</si>
  <si>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</si>
  <si>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</si>
  <si>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</si>
  <si>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</si>
  <si>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</si>
  <si>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</si>
  <si>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</si>
  <si>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</si>
  <si>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</si>
  <si>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</si>
  <si>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</si>
  <si>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</si>
  <si>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</si>
  <si>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</si>
  <si>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</si>
  <si>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</si>
  <si>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</si>
  <si>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</si>
  <si>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</si>
  <si>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</si>
  <si>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</si>
  <si>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</si>
  <si>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</si>
  <si>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</si>
  <si>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</si>
  <si>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</si>
  <si>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</si>
  <si>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</si>
  <si>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</si>
  <si>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</si>
  <si>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</si>
  <si>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</si>
  <si>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</si>
  <si>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</si>
  <si>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</si>
  <si>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</si>
  <si>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</si>
  <si>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</si>
  <si>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</si>
  <si>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</si>
  <si>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</si>
  <si>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</si>
  <si>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</si>
  <si>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</si>
  <si>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</si>
  <si>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</si>
  <si>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</si>
  <si>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</si>
  <si>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</si>
  <si>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</si>
  <si>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</si>
  <si>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</si>
  <si>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</si>
  <si>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</si>
  <si>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</si>
  <si>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</si>
  <si>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</si>
  <si>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</si>
  <si>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</si>
  <si>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</si>
  <si>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</si>
  <si>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</si>
  <si>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</si>
  <si>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</si>
  <si>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</si>
  <si>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</si>
  <si>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</si>
  <si>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</si>
  <si>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</si>
  <si>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</si>
  <si>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</si>
  <si>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</si>
  <si>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</si>
  <si>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</si>
  <si>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</si>
  <si>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</si>
  <si>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</si>
  <si>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</si>
  <si>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</si>
  <si>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</si>
  <si>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</si>
  <si>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</si>
  <si>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</si>
  <si>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</si>
  <si>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</si>
  <si>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</si>
  <si>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</si>
  <si>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</si>
  <si>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</si>
  <si>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</si>
  <si>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</si>
  <si>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</si>
  <si>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</si>
  <si>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</si>
  <si>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</si>
  <si>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</si>
  <si>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</si>
  <si>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</si>
  <si>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</si>
  <si>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</si>
  <si>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</si>
  <si>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</si>
  <si>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</si>
  <si>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</si>
  <si>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</si>
  <si>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</si>
  <si>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</si>
  <si>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</si>
  <si>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</si>
  <si>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</si>
  <si>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</si>
  <si>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</si>
  <si>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</si>
  <si>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</si>
  <si>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</si>
  <si>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</si>
  <si>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</si>
  <si>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</si>
  <si>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</si>
  <si>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</si>
  <si>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</si>
  <si>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</si>
  <si>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</si>
  <si>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</si>
  <si>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</si>
  <si>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</si>
  <si>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</si>
  <si>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</si>
  <si>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</si>
  <si>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</si>
  <si>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</si>
  <si>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</si>
  <si>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</si>
  <si>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</si>
  <si>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</si>
  <si>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</si>
  <si>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</si>
  <si>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</si>
  <si>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</si>
  <si>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</si>
  <si>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</si>
  <si>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</si>
  <si>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</si>
  <si>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</si>
  <si>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</si>
  <si>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</si>
  <si>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</si>
  <si>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</si>
  <si>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</si>
  <si>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</si>
  <si>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</si>
  <si>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</si>
  <si>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</si>
  <si>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</si>
  <si>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</si>
  <si>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</si>
  <si>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</si>
  <si>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</si>
  <si>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</si>
  <si>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</si>
  <si>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</si>
  <si>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</si>
  <si>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</si>
  <si>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</si>
  <si>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</si>
  <si>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</si>
  <si>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</si>
  <si>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</si>
  <si>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</si>
  <si>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</si>
  <si>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</si>
  <si>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</si>
  <si>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</si>
  <si>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</si>
  <si>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</si>
  <si>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</si>
  <si>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</si>
  <si>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</si>
  <si>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</si>
  <si>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</si>
  <si>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</si>
  <si>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</si>
  <si>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</si>
  <si>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</si>
  <si>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</si>
  <si>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</si>
  <si>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</si>
  <si>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</si>
  <si>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</si>
  <si>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</si>
  <si>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</si>
  <si>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</si>
  <si>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</si>
  <si>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</si>
  <si>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</si>
  <si>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</si>
  <si>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</si>
  <si>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</si>
  <si>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</si>
  <si>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</si>
  <si>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</si>
  <si>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</si>
  <si>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</si>
  <si>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</si>
  <si>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</si>
  <si>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</si>
  <si>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</si>
  <si>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</si>
  <si>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</si>
  <si>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</si>
  <si>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</si>
  <si>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</si>
  <si>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</si>
  <si>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</si>
  <si>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</si>
  <si>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</si>
  <si>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</si>
  <si>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</si>
  <si>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</si>
  <si>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</si>
  <si>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</si>
  <si>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</si>
  <si>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</si>
  <si>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</si>
  <si>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</si>
  <si>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</si>
  <si>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</si>
  <si>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</si>
  <si>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</si>
  <si>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</si>
  <si>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</si>
  <si>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</si>
  <si>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</si>
  <si>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</si>
  <si>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</si>
  <si>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</si>
  <si>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</si>
  <si>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</si>
  <si>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</si>
  <si>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</si>
  <si>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</si>
  <si>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</si>
  <si>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</si>
  <si>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</si>
  <si>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</si>
  <si>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</si>
  <si>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</si>
  <si>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</si>
  <si>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</si>
  <si>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</si>
  <si>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</si>
  <si>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</si>
  <si>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</si>
  <si>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</si>
  <si>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</si>
  <si>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</si>
  <si>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</si>
  <si>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</si>
  <si>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</si>
  <si>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</si>
  <si>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</si>
  <si>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</si>
  <si>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</si>
  <si>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</si>
  <si>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</si>
  <si>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</si>
  <si>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</si>
  <si>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</si>
  <si>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</si>
  <si>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</si>
  <si>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</si>
  <si>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</si>
  <si>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</si>
  <si>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</si>
  <si>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</si>
  <si>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</si>
  <si>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</si>
  <si>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</si>
  <si>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</si>
  <si>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</si>
  <si>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</si>
  <si>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</si>
  <si>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</si>
  <si>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</si>
  <si>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</si>
  <si>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</si>
  <si>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</si>
  <si>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</si>
  <si>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</si>
  <si>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</si>
  <si>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</si>
  <si>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</si>
  <si>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</si>
  <si>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</si>
  <si>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</si>
  <si>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</si>
  <si>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</si>
  <si>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</si>
  <si>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</si>
  <si>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</si>
  <si>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</si>
  <si>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</si>
  <si>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</si>
  <si>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</si>
  <si>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</si>
  <si>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</si>
  <si>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</si>
  <si>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</si>
  <si>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</si>
  <si>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</si>
  <si>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</si>
  <si>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</si>
  <si>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</si>
  <si>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</si>
  <si>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</si>
  <si>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</si>
  <si>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</si>
  <si>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</si>
  <si>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</si>
  <si>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</si>
  <si>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</si>
  <si>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</si>
  <si>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</si>
  <si>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</si>
  <si>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</si>
  <si>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</si>
  <si>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</si>
  <si>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</si>
  <si>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</si>
  <si>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</si>
  <si>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</si>
  <si>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</si>
  <si>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</si>
  <si>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</si>
  <si>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</si>
  <si>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</si>
  <si>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</si>
  <si>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</si>
  <si>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</si>
  <si>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</si>
  <si>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</si>
  <si>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</si>
  <si>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</si>
  <si>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</si>
  <si>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</si>
  <si>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</si>
  <si>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</si>
  <si>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</si>
  <si>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</si>
  <si>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</si>
  <si>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</si>
  <si>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</si>
  <si>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</si>
  <si>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</si>
  <si>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</si>
  <si>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</si>
  <si>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</si>
  <si>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</si>
  <si>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</si>
  <si>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</si>
  <si>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</si>
  <si>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</si>
  <si>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</si>
  <si>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</si>
  <si>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</si>
  <si>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</si>
  <si>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</si>
  <si>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</si>
  <si>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</si>
  <si>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</si>
  <si>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</si>
  <si>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</si>
  <si>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</si>
  <si>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</si>
  <si>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</si>
  <si>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</si>
  <si>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</si>
  <si>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</si>
  <si>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</si>
  <si>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</si>
  <si>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</si>
  <si>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</si>
  <si>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</si>
  <si>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</si>
  <si>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</si>
  <si>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</si>
  <si>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</si>
  <si>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</si>
  <si>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</si>
  <si>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</si>
  <si>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</si>
  <si>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</si>
  <si>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</si>
  <si>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</si>
  <si>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</si>
  <si>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</si>
  <si>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</si>
  <si>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</si>
  <si>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</si>
  <si>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</si>
  <si>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</si>
  <si>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</si>
  <si>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</si>
  <si>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</si>
  <si>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</si>
  <si>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</si>
  <si>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</si>
  <si>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</si>
  <si>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</si>
  <si>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</si>
  <si>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</si>
  <si>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</si>
  <si>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</si>
  <si>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</si>
  <si>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</si>
  <si>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</si>
  <si>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</si>
  <si>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</si>
  <si>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</si>
  <si>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</si>
  <si>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</si>
  <si>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</si>
  <si>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</si>
  <si>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</si>
  <si>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</si>
  <si>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</si>
  <si>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</si>
  <si>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</si>
  <si>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</si>
  <si>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</si>
  <si>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</si>
  <si>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</si>
  <si>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</si>
  <si>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</si>
  <si>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</si>
  <si>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</si>
  <si>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</si>
  <si>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</si>
  <si>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</si>
  <si>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</si>
  <si>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</si>
  <si>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</si>
  <si>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</si>
  <si>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</si>
  <si>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</si>
  <si>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</si>
  <si>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</si>
  <si>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</si>
  <si>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</si>
  <si>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</si>
  <si>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</si>
  <si>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</si>
  <si>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</si>
  <si>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</si>
  <si>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</si>
  <si>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</si>
  <si>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</si>
  <si>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</si>
  <si>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</si>
  <si>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</si>
  <si>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</si>
  <si>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</si>
  <si>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</si>
  <si>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</si>
  <si>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</si>
  <si>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</si>
  <si>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</si>
  <si>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</si>
  <si>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</si>
  <si>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</si>
  <si>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</si>
  <si>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</si>
  <si>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</si>
  <si>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</si>
  <si>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</si>
  <si>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</si>
  <si>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</si>
  <si>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</si>
  <si>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</si>
  <si>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</si>
  <si>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</si>
  <si>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</si>
  <si>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</si>
  <si>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</si>
  <si>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</si>
  <si>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</si>
  <si>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</si>
  <si>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</si>
  <si>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</si>
  <si>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</si>
  <si>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</si>
  <si>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</si>
  <si>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</si>
  <si>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</si>
  <si>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</si>
  <si>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</si>
  <si>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</si>
  <si>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</si>
  <si>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</si>
  <si>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</si>
  <si>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</si>
  <si>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</si>
  <si>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</si>
  <si>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</si>
  <si>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</si>
  <si>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</si>
  <si>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</si>
  <si>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</si>
  <si>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</si>
  <si>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</si>
  <si>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</si>
  <si>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</si>
  <si>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</si>
  <si>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</si>
  <si>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</si>
  <si>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</si>
  <si>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</si>
  <si>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</si>
  <si>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</si>
  <si>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</si>
  <si>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</si>
  <si>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</si>
  <si>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</si>
  <si>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</si>
  <si>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</si>
  <si>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</si>
  <si>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</si>
  <si>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</si>
  <si>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</si>
  <si>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</si>
  <si>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</si>
  <si>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</si>
  <si>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</si>
  <si>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</si>
  <si>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</si>
  <si>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</si>
  <si>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</si>
  <si>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</si>
  <si>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</si>
  <si>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</si>
  <si>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</si>
  <si>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</si>
  <si>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</si>
  <si>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</si>
  <si>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</si>
  <si>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</si>
  <si>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</si>
  <si>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</si>
  <si>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</si>
  <si>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</si>
  <si>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</si>
  <si>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</si>
  <si>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</si>
  <si>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</si>
  <si>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</si>
  <si>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</si>
  <si>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</si>
  <si>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</si>
  <si>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</si>
  <si>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</si>
  <si>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</si>
  <si>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</si>
  <si>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</si>
  <si>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</si>
  <si>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</si>
  <si>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</si>
  <si>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</si>
  <si>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</si>
  <si>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</si>
  <si>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</si>
  <si>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</si>
  <si>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</si>
  <si>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</si>
  <si>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</si>
  <si>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</si>
  <si>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</si>
  <si>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</si>
  <si>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</si>
  <si>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</si>
  <si>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</si>
  <si>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</si>
  <si>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</si>
  <si>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</si>
  <si>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</si>
  <si>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</si>
  <si>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</si>
  <si>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</si>
  <si>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</si>
  <si>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</si>
  <si>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</si>
  <si>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</si>
  <si>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</si>
  <si>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</si>
  <si>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</si>
  <si>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</si>
  <si>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</si>
  <si>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</si>
  <si>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</si>
  <si>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</si>
  <si>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</si>
  <si>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</si>
  <si>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</si>
  <si>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</si>
  <si>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</si>
  <si>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</si>
  <si>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</si>
  <si>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</si>
  <si>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</si>
  <si>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</si>
  <si>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</si>
  <si>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</si>
  <si>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</si>
  <si>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</si>
  <si>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</si>
  <si>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</si>
  <si>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</si>
  <si>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</si>
  <si>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</si>
  <si>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</si>
  <si>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</si>
  <si>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</si>
  <si>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</si>
  <si>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</si>
  <si>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</si>
  <si>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</si>
  <si>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</si>
  <si>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</si>
  <si>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</si>
  <si>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</si>
  <si>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</si>
  <si>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</si>
  <si>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</si>
  <si>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</si>
  <si>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</si>
  <si>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</si>
  <si>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</si>
  <si>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</si>
  <si>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</si>
  <si>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</si>
  <si>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</si>
  <si>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</si>
  <si>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</si>
  <si>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</si>
  <si>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</si>
  <si>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</si>
  <si>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</si>
  <si>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</si>
  <si>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</si>
  <si>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</si>
  <si>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</si>
  <si>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</si>
  <si>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</si>
  <si>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</si>
  <si>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</si>
  <si>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</si>
  <si>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</si>
  <si>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</si>
  <si>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</si>
  <si>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</si>
  <si>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</si>
  <si>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</si>
  <si>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</si>
  <si>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</si>
  <si>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</si>
  <si>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</si>
  <si>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</si>
  <si>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</si>
  <si>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</si>
  <si>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</si>
  <si>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</si>
  <si>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</si>
  <si>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</si>
  <si>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</si>
  <si>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</si>
  <si>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</si>
  <si>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</si>
  <si>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</si>
  <si>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</si>
  <si>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</si>
  <si>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</si>
  <si>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</si>
  <si>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</si>
  <si>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</si>
  <si>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</si>
  <si>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</si>
  <si>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</si>
  <si>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</si>
  <si>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</si>
  <si>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</si>
  <si>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</si>
  <si>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</si>
  <si>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</si>
  <si>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</si>
  <si>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</si>
  <si>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</si>
  <si>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</si>
  <si>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</si>
  <si>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</si>
  <si>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</si>
  <si>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</si>
  <si>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</si>
  <si>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</si>
  <si>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</si>
  <si>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</si>
  <si>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</si>
  <si>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</si>
  <si>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</si>
  <si>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</si>
  <si>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</si>
  <si>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</si>
  <si>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</si>
  <si>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</si>
  <si>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</si>
  <si>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</si>
  <si>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</si>
  <si>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</si>
  <si>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</si>
  <si>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</si>
  <si>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</si>
  <si>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</si>
  <si>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</si>
  <si>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</si>
  <si>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</si>
  <si>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</si>
  <si>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</si>
  <si>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</si>
  <si>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</si>
  <si>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</si>
  <si>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</si>
  <si>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</si>
  <si>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</si>
  <si>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</si>
  <si>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</si>
  <si>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</si>
  <si>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</si>
  <si>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</si>
  <si>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</si>
  <si>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</si>
  <si>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</si>
  <si>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</si>
  <si>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</si>
  <si>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</si>
  <si>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</si>
  <si>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</si>
  <si>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</si>
  <si>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</si>
  <si>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</si>
  <si>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</si>
  <si>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</si>
  <si>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</si>
  <si>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</si>
  <si>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</si>
  <si>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</si>
  <si>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</si>
  <si>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</si>
  <si>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</si>
  <si>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</si>
  <si>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</si>
  <si>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</si>
  <si>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</si>
  <si>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</si>
  <si>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</si>
  <si>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</si>
  <si>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</si>
  <si>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</si>
  <si>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</si>
  <si>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</si>
  <si>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</si>
  <si>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</si>
  <si>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</si>
  <si>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</si>
  <si>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</si>
  <si>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</si>
  <si>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</si>
  <si>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</si>
  <si>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</si>
  <si>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</si>
  <si>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</si>
  <si>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</si>
  <si>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</si>
  <si>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</si>
  <si>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</si>
  <si>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</si>
  <si>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</si>
  <si>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</si>
  <si>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</si>
  <si>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</si>
  <si>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</si>
  <si>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</si>
  <si>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</si>
  <si>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</si>
  <si>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</si>
  <si>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</si>
  <si>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</si>
  <si>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</si>
  <si>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</si>
  <si>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</si>
  <si>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</si>
  <si>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</si>
  <si>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</si>
  <si>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</si>
  <si>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</si>
  <si>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</si>
  <si>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</si>
  <si>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</si>
  <si>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</si>
  <si>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</si>
  <si>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</si>
  <si>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</si>
  <si>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</si>
  <si>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</si>
  <si>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</si>
  <si>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</si>
  <si>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</si>
  <si>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</si>
  <si>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</si>
  <si>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</si>
  <si>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</si>
  <si>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</si>
  <si>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</si>
  <si>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</si>
  <si>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</si>
  <si>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</si>
  <si>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</si>
  <si>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</si>
  <si>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</si>
  <si>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</si>
  <si>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</si>
  <si>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</si>
  <si>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</si>
  <si>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</si>
  <si>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</si>
  <si>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</si>
  <si>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</si>
  <si>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</si>
  <si>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</si>
  <si>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</si>
  <si>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</si>
  <si>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</si>
  <si>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</si>
  <si>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</si>
  <si>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</si>
  <si>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</si>
  <si>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</si>
  <si>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</si>
  <si>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</si>
  <si>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</si>
  <si>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</si>
  <si>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</si>
  <si>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</si>
  <si>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</si>
  <si>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</si>
  <si>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</si>
  <si>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</si>
  <si>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</si>
  <si>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</si>
  <si>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</si>
  <si>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</si>
  <si>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</si>
  <si>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</si>
  <si>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</si>
  <si>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</si>
  <si>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</si>
  <si>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</si>
  <si>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</si>
  <si>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</si>
  <si>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</si>
  <si>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</si>
  <si>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</si>
  <si>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</si>
  <si>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</si>
  <si>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</si>
  <si>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</si>
  <si>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</si>
  <si>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</si>
  <si>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</si>
  <si>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</si>
  <si>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</si>
  <si>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</si>
  <si>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</si>
  <si>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</si>
  <si>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</si>
  <si>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</si>
  <si>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</si>
  <si>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</si>
  <si>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</si>
  <si>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</si>
  <si>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</si>
  <si>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</si>
  <si>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</si>
  <si>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</si>
  <si>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</si>
  <si>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</si>
  <si>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</si>
  <si>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</si>
  <si>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</si>
  <si>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</si>
  <si>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</si>
  <si>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</si>
  <si>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</si>
  <si>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</si>
  <si>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</si>
  <si>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</si>
  <si>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</si>
  <si>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</si>
  <si>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</si>
  <si>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</si>
  <si>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</si>
  <si>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</si>
  <si>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</si>
  <si>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</si>
  <si>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</si>
  <si>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</si>
  <si>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</si>
  <si>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</si>
  <si>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</si>
  <si>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</si>
  <si>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</si>
  <si>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</si>
  <si>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</si>
  <si>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</si>
  <si>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</si>
  <si>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</si>
  <si>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</si>
  <si>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</si>
  <si>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</si>
  <si>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</si>
  <si>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</si>
  <si>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</si>
  <si>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</si>
  <si>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</si>
  <si>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</si>
  <si>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</si>
  <si>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</si>
  <si>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</si>
  <si>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</si>
  <si>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</si>
  <si>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</si>
  <si>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</si>
  <si>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</si>
  <si>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</si>
  <si>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</si>
  <si>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</si>
  <si>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</si>
  <si>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</si>
  <si>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</si>
  <si>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</si>
  <si>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</si>
  <si>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</si>
  <si>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</si>
  <si>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</si>
  <si>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</si>
  <si>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</si>
  <si>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</si>
  <si>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</si>
  <si>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</si>
  <si>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</si>
  <si>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</si>
  <si>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</si>
  <si>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</si>
  <si>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</si>
  <si>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</si>
  <si>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</si>
  <si>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</si>
  <si>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</si>
  <si>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</si>
  <si>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</si>
  <si>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</si>
  <si>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</si>
  <si>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</si>
  <si>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</si>
  <si>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</si>
  <si>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</si>
  <si>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</si>
  <si>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</si>
  <si>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</si>
  <si>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</si>
  <si>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</si>
  <si>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</si>
  <si>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</si>
  <si>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</si>
  <si>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</si>
  <si>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</si>
  <si>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</si>
  <si>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</si>
  <si>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</si>
  <si>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</si>
  <si>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</si>
  <si>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</si>
  <si>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</si>
  <si>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</si>
  <si>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</si>
  <si>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</si>
  <si>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</si>
  <si>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</si>
  <si>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</si>
  <si>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</si>
  <si>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</si>
  <si>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</si>
  <si>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</si>
  <si>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</si>
  <si>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</si>
  <si>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</si>
  <si>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</si>
  <si>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</si>
  <si>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</si>
  <si>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</si>
  <si>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</si>
  <si>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</si>
  <si>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</si>
  <si>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</si>
  <si>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</si>
  <si>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</si>
  <si>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</si>
  <si>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</si>
  <si>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</si>
  <si>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</si>
  <si>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</si>
  <si>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</si>
  <si>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</si>
  <si>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</si>
  <si>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</si>
  <si>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</si>
  <si>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</si>
  <si>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</si>
  <si>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</si>
  <si>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</si>
  <si>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</si>
  <si>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</si>
  <si>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</si>
  <si>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</si>
  <si>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</si>
  <si>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</si>
  <si>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</si>
  <si>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</si>
  <si>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</si>
  <si>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</si>
  <si>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</si>
  <si>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</si>
  <si>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</si>
  <si>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</si>
  <si>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</si>
  <si>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</si>
  <si>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</si>
  <si>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</si>
  <si>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</si>
  <si>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</si>
  <si>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</si>
  <si>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</si>
  <si>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</si>
  <si>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</si>
  <si>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</si>
  <si>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</si>
  <si>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</si>
  <si>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</si>
  <si>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</si>
  <si>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</si>
  <si>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</si>
  <si>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</si>
  <si>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</si>
  <si>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</si>
  <si>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</si>
  <si>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</si>
  <si>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</si>
  <si>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</si>
  <si>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</si>
  <si>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</si>
  <si>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</si>
  <si>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</si>
  <si>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</si>
  <si>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</si>
  <si>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</si>
  <si>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</si>
  <si>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</si>
  <si>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</si>
  <si>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</si>
  <si>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</si>
  <si>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</si>
  <si>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</si>
  <si>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</si>
  <si>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</si>
  <si>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</si>
  <si>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</si>
  <si>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</si>
  <si>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</si>
  <si>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</si>
  <si>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</si>
  <si>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</si>
  <si>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</si>
  <si>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</si>
  <si>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</si>
  <si>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</si>
  <si>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</si>
  <si>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</si>
  <si>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</si>
  <si>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</si>
  <si>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</si>
  <si>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</si>
  <si>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</si>
  <si>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</si>
  <si>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</si>
  <si>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</si>
  <si>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</si>
  <si>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</si>
  <si>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</si>
  <si>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</si>
  <si>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</si>
  <si>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</si>
  <si>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</si>
  <si>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</si>
  <si>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</si>
  <si>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</si>
  <si>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</si>
  <si>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</si>
  <si>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</si>
  <si>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</si>
  <si>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</si>
  <si>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</si>
  <si>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</si>
  <si>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</si>
  <si>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</si>
  <si>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</si>
  <si>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</si>
  <si>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</si>
  <si>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</si>
  <si>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</si>
  <si>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</si>
  <si>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</si>
  <si>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</si>
  <si>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</si>
  <si>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</si>
  <si>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</si>
  <si>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</si>
  <si>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</si>
  <si>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</si>
  <si>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</si>
  <si>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</si>
  <si>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</si>
  <si>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</si>
  <si>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</si>
  <si>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</si>
  <si>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</si>
  <si>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</si>
  <si>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</si>
  <si>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</si>
  <si>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</si>
  <si>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</si>
  <si>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</si>
  <si>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</si>
  <si>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</si>
  <si>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</si>
  <si>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</si>
  <si>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</si>
  <si>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</si>
  <si>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</si>
  <si>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</si>
  <si>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</si>
  <si>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</si>
  <si>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</si>
  <si>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</si>
  <si>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</si>
  <si>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</si>
  <si>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</si>
  <si>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</si>
  <si>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</si>
  <si>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</si>
  <si>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</si>
  <si>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</si>
  <si>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</si>
  <si>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</si>
  <si>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</si>
  <si>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</si>
  <si>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</si>
  <si>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</si>
  <si>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</si>
  <si>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</si>
  <si>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</si>
  <si>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</si>
  <si>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</si>
  <si>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</si>
  <si>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</si>
  <si>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</si>
  <si>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</si>
  <si>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</si>
  <si>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</si>
  <si>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</si>
  <si>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</si>
  <si>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</si>
  <si>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</si>
  <si>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</si>
  <si>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</si>
  <si>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</si>
  <si>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</si>
  <si>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</si>
  <si>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</si>
  <si>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</si>
  <si>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</si>
  <si>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</si>
  <si>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</si>
  <si>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</si>
  <si>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</si>
  <si>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</si>
  <si>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</si>
  <si>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</si>
  <si>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</si>
  <si>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</si>
  <si>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</si>
  <si>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</si>
  <si>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</si>
  <si>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</si>
  <si>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</si>
  <si>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</si>
  <si>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</si>
  <si>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</si>
  <si>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</si>
  <si>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</si>
  <si>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</si>
  <si>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</si>
  <si>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</si>
  <si>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</si>
  <si>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</si>
  <si>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</si>
  <si>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</si>
  <si>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</si>
  <si>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</si>
  <si>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</si>
  <si>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</si>
  <si>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</si>
  <si>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</si>
  <si>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</si>
  <si>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</si>
  <si>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</si>
  <si>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</si>
  <si>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</si>
  <si>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</si>
  <si>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</si>
  <si>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</si>
  <si>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</si>
  <si>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</si>
  <si>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</si>
  <si>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</si>
  <si>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</si>
  <si>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</si>
  <si>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</si>
  <si>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</si>
  <si>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</si>
  <si>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</si>
  <si>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</si>
  <si>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</si>
  <si>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</si>
  <si>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</si>
  <si>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</si>
  <si>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</si>
  <si>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</si>
  <si>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</si>
  <si>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</si>
  <si>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</si>
  <si>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</si>
  <si>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</si>
  <si>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</si>
  <si>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</si>
  <si>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</si>
  <si>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</si>
  <si>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</si>
  <si>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</si>
  <si>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</si>
  <si>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</si>
  <si>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</si>
  <si>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</si>
  <si>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</si>
  <si>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</si>
  <si>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</si>
  <si>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</si>
  <si>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</si>
  <si>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</si>
  <si>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</si>
  <si>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</si>
  <si>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</si>
  <si>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</si>
  <si>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</si>
  <si>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</si>
  <si>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</si>
  <si>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</si>
  <si>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</si>
  <si>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</si>
  <si>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</si>
  <si>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</si>
  <si>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</si>
  <si>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</si>
  <si>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</si>
  <si>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</si>
  <si>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</si>
  <si>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</si>
  <si>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</si>
  <si>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</si>
  <si>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</si>
  <si>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</si>
  <si>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</si>
  <si>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</si>
  <si>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</si>
  <si>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</si>
  <si>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</si>
  <si>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</si>
  <si>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</si>
  <si>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</si>
  <si>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</si>
  <si>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</si>
  <si>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</si>
  <si>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</si>
  <si>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</si>
  <si>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</si>
  <si>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</si>
  <si>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</si>
  <si>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</si>
  <si>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</si>
  <si>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</si>
  <si>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</si>
  <si>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</si>
  <si>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</si>
  <si>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</si>
  <si>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</si>
  <si>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</si>
  <si>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</si>
  <si>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</si>
  <si>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</si>
  <si>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</si>
  <si>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</si>
  <si>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</si>
  <si>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</si>
  <si>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</si>
  <si>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</si>
  <si>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</si>
  <si>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</si>
  <si>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</si>
  <si>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</si>
  <si>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</si>
  <si>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</si>
  <si>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</si>
  <si>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</si>
  <si>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</si>
  <si>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</si>
  <si>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</si>
  <si>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</si>
  <si>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</si>
  <si>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</si>
  <si>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</si>
  <si>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</si>
  <si>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</si>
  <si>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</si>
  <si>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</si>
  <si>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</si>
  <si>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</si>
  <si>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</si>
  <si>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</si>
  <si>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</si>
  <si>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</si>
  <si>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</si>
  <si>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</si>
  <si>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</si>
  <si>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</si>
  <si>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</si>
  <si>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</si>
  <si>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</si>
  <si>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</si>
  <si>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</si>
  <si>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</si>
  <si>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</si>
  <si>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</si>
  <si>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</si>
  <si>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</si>
  <si>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</si>
  <si>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</si>
  <si>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</si>
  <si>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</si>
  <si>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</si>
  <si>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</si>
  <si>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</si>
  <si>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</si>
  <si>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</si>
  <si>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</si>
  <si>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</si>
  <si>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</si>
  <si>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</si>
  <si>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</si>
  <si>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</si>
  <si>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</si>
  <si>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</si>
  <si>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</si>
  <si>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</si>
  <si>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</si>
  <si>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</si>
  <si>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</si>
  <si>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</si>
  <si>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</si>
  <si>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</si>
  <si>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</si>
  <si>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</si>
  <si>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</si>
  <si>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</si>
  <si>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</si>
  <si>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</si>
  <si>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</si>
  <si>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</si>
  <si>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</si>
  <si>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</si>
  <si>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</si>
  <si>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</si>
  <si>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</si>
  <si>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</si>
  <si>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</si>
  <si>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</si>
  <si>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</si>
  <si>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</si>
  <si>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</si>
  <si>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</si>
  <si>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</si>
  <si>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</si>
  <si>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</si>
  <si>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</si>
  <si>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</si>
  <si>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</si>
  <si>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</si>
  <si>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</si>
  <si>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</si>
  <si>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</si>
  <si>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</si>
  <si>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</si>
  <si>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</si>
  <si>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</si>
  <si>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</si>
  <si>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</si>
  <si>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</si>
  <si>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</si>
  <si>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</si>
  <si>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</si>
  <si>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</si>
  <si>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</si>
  <si>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</si>
  <si>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</si>
  <si>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</si>
  <si>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</si>
  <si>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</si>
  <si>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</si>
  <si>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</si>
  <si>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</si>
  <si>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</si>
  <si>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</si>
  <si>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</si>
  <si>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</si>
  <si>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</si>
  <si>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</si>
  <si>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</si>
  <si>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</si>
  <si>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</si>
  <si>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</si>
  <si>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</si>
  <si>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</si>
  <si>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</si>
  <si>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</si>
  <si>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</si>
  <si>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</si>
  <si>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</si>
  <si>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</si>
  <si>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</si>
  <si>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</si>
  <si>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</si>
  <si>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</si>
  <si>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</si>
  <si>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</si>
  <si>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</si>
  <si>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</si>
  <si>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</si>
  <si>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</si>
  <si>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</si>
  <si>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</si>
  <si>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</si>
  <si>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</si>
  <si>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</si>
  <si>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</si>
  <si>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</si>
  <si>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</si>
  <si>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</si>
  <si>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</si>
  <si>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</si>
  <si>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</si>
  <si>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</si>
  <si>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</si>
  <si>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</si>
  <si>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</si>
  <si>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</si>
  <si>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</si>
  <si>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</si>
  <si>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</si>
  <si>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</si>
  <si>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</si>
  <si>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</si>
  <si>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</si>
  <si>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</si>
  <si>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</si>
  <si>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</si>
  <si>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</si>
  <si>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</si>
  <si>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</si>
  <si>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</si>
  <si>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</si>
  <si>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</si>
  <si>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</si>
  <si>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</si>
  <si>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</si>
  <si>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</si>
  <si>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</si>
  <si>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</si>
  <si>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</si>
  <si>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</si>
  <si>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</si>
  <si>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</si>
  <si>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</si>
  <si>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</si>
  <si>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</si>
  <si>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</si>
  <si>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</si>
  <si>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</si>
  <si>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</si>
  <si>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</si>
  <si>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</si>
  <si>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</si>
  <si>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</si>
  <si>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</si>
  <si>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</si>
  <si>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</si>
  <si>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</si>
  <si>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</si>
  <si>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</si>
  <si>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</si>
  <si>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</si>
  <si>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</si>
  <si>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</si>
  <si>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</si>
  <si>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</si>
  <si>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</si>
  <si>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</si>
  <si>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</si>
  <si>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</si>
  <si>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</si>
  <si>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</si>
  <si>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</si>
  <si>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</si>
  <si>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</si>
  <si>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</si>
  <si>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</si>
  <si>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</si>
  <si>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</si>
  <si>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</si>
  <si>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</si>
  <si>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</si>
  <si>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</si>
  <si>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</si>
  <si>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</si>
  <si>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</si>
  <si>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</si>
  <si>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</si>
  <si>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</si>
  <si>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</si>
  <si>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</si>
  <si>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</si>
  <si>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</si>
  <si>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</si>
  <si>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</si>
  <si>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</si>
  <si>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</si>
  <si>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</si>
  <si>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</si>
  <si>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</si>
  <si>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</si>
  <si>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</si>
  <si>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</si>
  <si>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</si>
  <si>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</si>
  <si>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</si>
  <si>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</si>
  <si>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</si>
  <si>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</si>
  <si>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</si>
  <si>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</si>
  <si>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</si>
  <si>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</si>
  <si>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</si>
  <si>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</si>
  <si>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</si>
  <si>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</si>
  <si>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</si>
  <si>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</si>
  <si>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</si>
  <si>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</si>
  <si>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</si>
  <si>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</si>
  <si>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</si>
  <si>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</si>
  <si>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</si>
  <si>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</si>
  <si>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</si>
  <si>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</si>
  <si>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</si>
  <si>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</si>
  <si>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</si>
  <si>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</si>
  <si>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</si>
  <si>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</si>
  <si>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</si>
  <si>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</si>
  <si>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</si>
  <si>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</si>
  <si>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</si>
  <si>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</si>
  <si>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</si>
  <si>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</si>
  <si>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</si>
  <si>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</si>
  <si>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</si>
  <si>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</si>
  <si>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</si>
  <si>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</si>
  <si>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</si>
  <si>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</si>
  <si>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</si>
  <si>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</si>
  <si>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</si>
  <si>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</si>
  <si>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</si>
  <si>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</si>
  <si>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</si>
  <si>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</si>
  <si>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</si>
  <si>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</si>
  <si>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</si>
  <si>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</si>
  <si>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</si>
  <si>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</si>
  <si>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</si>
  <si>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</si>
  <si>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</si>
  <si>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</si>
  <si>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</si>
  <si>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</si>
  <si>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</si>
  <si>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</si>
  <si>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</si>
  <si>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</si>
  <si>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</si>
  <si>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</si>
  <si>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</si>
  <si>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</si>
  <si>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</si>
  <si>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</si>
  <si>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</si>
  <si>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</si>
  <si>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</si>
  <si>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</si>
  <si>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</si>
  <si>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</si>
  <si>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</si>
  <si>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</si>
  <si>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</si>
  <si>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</si>
  <si>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</si>
  <si>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</si>
  <si>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</si>
  <si>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</si>
  <si>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</si>
  <si>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</si>
  <si>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</si>
  <si>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</si>
  <si>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</si>
  <si>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</si>
  <si>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</si>
  <si>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</si>
  <si>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</si>
  <si>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</si>
  <si>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</si>
  <si>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</si>
  <si>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</si>
  <si>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</si>
  <si>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</si>
  <si>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</si>
  <si>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</si>
  <si>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</si>
  <si>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</si>
  <si>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</si>
  <si>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</si>
  <si>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</si>
  <si>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</si>
  <si>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</si>
  <si>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</si>
  <si>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</si>
  <si>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</si>
  <si>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</si>
  <si>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</si>
  <si>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</si>
  <si>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</si>
  <si>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</si>
  <si>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</si>
  <si>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</si>
  <si>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</si>
  <si>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</si>
  <si>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</si>
  <si>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</si>
  <si>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</si>
  <si>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</si>
  <si>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</si>
  <si>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</si>
  <si>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</si>
  <si>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</si>
  <si>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</si>
  <si>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</si>
  <si>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</si>
  <si>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</si>
  <si>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</si>
  <si>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</si>
  <si>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</si>
  <si>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</si>
  <si>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</si>
  <si>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</si>
  <si>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</si>
  <si>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</si>
  <si>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</si>
  <si>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</si>
  <si>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</si>
  <si>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</si>
  <si>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</si>
  <si>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</si>
  <si>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</si>
  <si>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</si>
  <si>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</si>
  <si>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</si>
  <si>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</si>
  <si>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</si>
  <si>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</si>
  <si>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</si>
  <si>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</si>
  <si>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</si>
  <si>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</si>
  <si>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</si>
  <si>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</si>
  <si>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</si>
  <si>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</si>
  <si>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</si>
  <si>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</si>
  <si>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</si>
  <si>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</si>
  <si>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</si>
  <si>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</si>
  <si>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</si>
  <si>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</si>
  <si>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</si>
  <si>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</si>
  <si>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</si>
  <si>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</si>
  <si>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</si>
  <si>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</si>
  <si>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</si>
  <si>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</si>
  <si>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</si>
  <si>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</si>
  <si>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</si>
  <si>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</si>
  <si>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</si>
  <si>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</si>
  <si>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</si>
  <si>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</si>
  <si>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</si>
  <si>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</si>
  <si>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</si>
  <si>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</si>
  <si>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</si>
  <si>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</si>
  <si>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</si>
  <si>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</si>
  <si>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</si>
  <si>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</si>
  <si>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</si>
  <si>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</si>
  <si>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</si>
  <si>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</si>
  <si>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</si>
  <si>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</si>
  <si>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</si>
  <si>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</si>
  <si>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</si>
  <si>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</si>
  <si>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</si>
  <si>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</si>
  <si>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</si>
  <si>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</si>
  <si>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</si>
  <si>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</si>
  <si>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</si>
  <si>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</si>
  <si>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</si>
  <si>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</si>
  <si>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</si>
  <si>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</si>
  <si>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</si>
  <si>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</si>
  <si>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</si>
  <si>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</si>
  <si>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</si>
  <si>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</si>
  <si>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</si>
  <si>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</si>
  <si>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</si>
  <si>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</si>
  <si>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</si>
  <si>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</si>
  <si>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</si>
  <si>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</si>
  <si>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</si>
  <si>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</si>
  <si>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</si>
  <si>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</si>
  <si>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</si>
  <si>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</si>
  <si>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</si>
  <si>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</si>
  <si>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</si>
  <si>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</si>
  <si>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</si>
  <si>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</si>
  <si>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</si>
  <si>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</si>
  <si>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</si>
  <si>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</si>
  <si>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</si>
  <si>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</si>
  <si>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</si>
  <si>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</si>
  <si>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</si>
  <si>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</si>
  <si>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</si>
  <si>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</si>
  <si>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</si>
  <si>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</si>
  <si>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</si>
  <si>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</si>
  <si>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</si>
  <si>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</si>
  <si>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</si>
  <si>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</si>
  <si>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</si>
  <si>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</si>
  <si>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</si>
  <si>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</si>
  <si>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</si>
  <si>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</si>
  <si>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</si>
  <si>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</si>
  <si>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</si>
  <si>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</si>
  <si>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</si>
  <si>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</si>
  <si>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</si>
  <si>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</si>
  <si>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</si>
  <si>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</si>
  <si>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</si>
  <si>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</si>
  <si>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</si>
  <si>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</si>
  <si>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</si>
  <si>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</si>
  <si>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</si>
  <si>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</si>
  <si>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</si>
  <si>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</si>
  <si>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</si>
  <si>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</si>
  <si>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</si>
  <si>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</si>
  <si>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</si>
  <si>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</si>
  <si>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</si>
  <si>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</si>
  <si>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</si>
  <si>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</si>
  <si>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</si>
  <si>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</si>
  <si>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</si>
  <si>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</si>
  <si>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</si>
  <si>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</si>
  <si>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</si>
  <si>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</si>
  <si>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</si>
  <si>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</si>
  <si>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</si>
  <si>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</si>
  <si>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</si>
  <si>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</si>
  <si>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</si>
  <si>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</si>
  <si>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</si>
  <si>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</si>
  <si>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</si>
  <si>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</si>
  <si>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</si>
  <si>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</si>
  <si>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</si>
  <si>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</si>
  <si>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</si>
  <si>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</si>
  <si>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</si>
  <si>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</si>
  <si>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</si>
  <si>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</si>
  <si>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</si>
  <si>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</si>
  <si>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</si>
  <si>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</si>
  <si>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</si>
  <si>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</si>
  <si>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</si>
  <si>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</si>
  <si>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</si>
  <si>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</si>
  <si>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</si>
  <si>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</si>
  <si>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</si>
  <si>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</si>
  <si>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</si>
  <si>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</si>
  <si>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</si>
  <si>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</si>
  <si>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</si>
  <si>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</si>
  <si>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</si>
  <si>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</si>
  <si>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</si>
  <si>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</si>
  <si>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</si>
  <si>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</si>
  <si>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</si>
  <si>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</si>
  <si>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</si>
  <si>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</si>
  <si>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</si>
  <si>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</si>
  <si>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</si>
  <si>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</si>
  <si>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</si>
  <si>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</si>
  <si>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</si>
  <si>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</si>
  <si>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</si>
  <si>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</si>
  <si>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</si>
  <si>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</si>
  <si>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</si>
  <si>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</si>
  <si>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</si>
  <si>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</si>
  <si>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</si>
  <si>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</si>
  <si>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</si>
  <si>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</si>
  <si>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</si>
  <si>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</si>
  <si>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</si>
  <si>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</si>
  <si>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</si>
  <si>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</si>
  <si>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</si>
  <si>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</si>
  <si>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</si>
  <si>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</si>
  <si>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</si>
  <si>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</si>
  <si>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</si>
  <si>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</si>
  <si>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</si>
  <si>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</si>
  <si>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</si>
  <si>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</si>
  <si>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</si>
  <si>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</si>
  <si>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</si>
  <si>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</si>
  <si>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</si>
  <si>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</si>
  <si>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</si>
  <si>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</si>
  <si>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</si>
  <si>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</si>
  <si>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</si>
  <si>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</si>
  <si>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</si>
  <si>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</si>
  <si>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</si>
  <si>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</si>
  <si>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</si>
  <si>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</si>
  <si>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</si>
  <si>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</si>
  <si>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</si>
  <si>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</si>
  <si>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</si>
  <si>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</si>
  <si>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</si>
  <si>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</si>
  <si>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</si>
  <si>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</si>
  <si>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</si>
  <si>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</si>
  <si>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</si>
  <si>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</si>
  <si>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</si>
  <si>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</si>
  <si>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</si>
  <si>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</si>
  <si>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</si>
  <si>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</si>
  <si>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</si>
  <si>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</si>
  <si>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</si>
  <si>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</si>
  <si>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</si>
  <si>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</si>
  <si>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</si>
  <si>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</si>
  <si>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</si>
  <si>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</si>
  <si>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</si>
  <si>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</si>
  <si>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</si>
  <si>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</si>
  <si>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</si>
  <si>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</si>
  <si>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</si>
  <si>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</si>
  <si>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</si>
  <si>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</si>
  <si>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</si>
  <si>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</si>
  <si>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</si>
  <si>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</si>
  <si>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</si>
  <si>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</si>
  <si>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</si>
  <si>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</si>
  <si>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</si>
  <si>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</si>
  <si>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</si>
  <si>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</si>
  <si>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</si>
  <si>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</si>
  <si>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</si>
  <si>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</si>
  <si>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</si>
  <si>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</si>
  <si>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</si>
  <si>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</si>
  <si>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</si>
  <si>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</si>
  <si>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</si>
  <si>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</si>
  <si>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</si>
  <si>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</si>
  <si>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</si>
  <si>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</si>
  <si>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</si>
  <si>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</si>
  <si>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</si>
  <si>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</si>
  <si>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</si>
  <si>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</si>
  <si>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</si>
  <si>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</si>
  <si>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</si>
  <si>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</si>
  <si>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</si>
  <si>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</si>
  <si>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</si>
  <si>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</si>
  <si>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</si>
  <si>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</si>
  <si>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</si>
  <si>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</si>
  <si>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</si>
  <si>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</si>
  <si>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</si>
  <si>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</si>
  <si>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</si>
  <si>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</si>
  <si>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</si>
  <si>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</si>
  <si>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</si>
  <si>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</si>
  <si>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</si>
  <si>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</si>
  <si>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</si>
  <si>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</si>
  <si>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</si>
  <si>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</si>
  <si>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</si>
  <si>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</si>
  <si>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</si>
  <si>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</si>
  <si>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</si>
  <si>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</si>
  <si>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</si>
  <si>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</si>
  <si>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</si>
  <si>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</si>
  <si>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</si>
  <si>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</si>
  <si>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</si>
  <si>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</si>
  <si>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</si>
  <si>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</si>
  <si>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</si>
  <si>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</si>
  <si>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</si>
  <si>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</si>
  <si>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</si>
  <si>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</si>
  <si>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</si>
  <si>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</si>
  <si>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</si>
  <si>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</si>
  <si>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</si>
  <si>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</si>
  <si>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</si>
  <si>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</si>
  <si>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</si>
  <si>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</si>
  <si>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</si>
  <si>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</si>
  <si>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</si>
  <si>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</si>
  <si>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</si>
  <si>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</si>
  <si>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</si>
  <si>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</si>
  <si>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</si>
  <si>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</si>
  <si>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</si>
  <si>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</si>
  <si>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</si>
  <si>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</si>
  <si>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</si>
  <si>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</si>
  <si>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</si>
  <si>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</si>
  <si>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</si>
  <si>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</si>
  <si>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</si>
  <si>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</si>
  <si>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</si>
  <si>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</si>
  <si>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</si>
  <si>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</si>
  <si>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</si>
  <si>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</si>
  <si>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</si>
  <si>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</si>
  <si>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</si>
  <si>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</si>
  <si>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</si>
  <si>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</si>
  <si>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</si>
  <si>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</si>
  <si>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</si>
  <si>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</si>
  <si>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</si>
  <si>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</si>
  <si>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</si>
  <si>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</si>
  <si>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</si>
  <si>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</si>
  <si>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</si>
  <si>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</si>
  <si>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</si>
  <si>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</si>
  <si>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</si>
  <si>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</si>
  <si>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</si>
  <si>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</si>
  <si>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</si>
  <si>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</si>
  <si>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</si>
  <si>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</si>
  <si>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</si>
  <si>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</si>
  <si>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</si>
  <si>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</si>
  <si>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</si>
  <si>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</si>
  <si>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</si>
  <si>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</si>
  <si>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</si>
  <si>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</si>
  <si>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</si>
  <si>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</si>
  <si>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</si>
  <si>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</si>
  <si>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</si>
  <si>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</si>
  <si>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</si>
  <si>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</si>
  <si>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</si>
  <si>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</si>
  <si>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</si>
  <si>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</si>
  <si>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</si>
  <si>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</si>
  <si>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</si>
  <si>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</si>
  <si>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</si>
  <si>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</si>
  <si>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</si>
  <si>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</si>
  <si>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</si>
  <si>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</si>
  <si>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</si>
  <si>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</si>
  <si>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</si>
  <si>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</si>
  <si>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</si>
  <si>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</si>
  <si>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</si>
  <si>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</si>
  <si>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</si>
  <si>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</si>
  <si>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</si>
  <si>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</si>
  <si>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</si>
  <si>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</si>
  <si>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</si>
  <si>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</si>
  <si>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</si>
  <si>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</si>
  <si>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</si>
  <si>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</si>
  <si>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</si>
  <si>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</si>
  <si>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</si>
  <si>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</si>
  <si>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</si>
  <si>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</si>
  <si>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</si>
  <si>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</si>
  <si>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</si>
  <si>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</si>
  <si>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</si>
  <si>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</si>
  <si>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</si>
  <si>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</si>
  <si>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</si>
  <si>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</si>
  <si>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</si>
  <si>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</si>
  <si>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</si>
  <si>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</si>
  <si>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</si>
  <si>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</si>
  <si>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</si>
  <si>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</si>
  <si>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</si>
  <si>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</si>
  <si>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</si>
  <si>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</si>
  <si>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</si>
  <si>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</si>
  <si>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</si>
  <si>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</si>
  <si>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</si>
  <si>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</si>
  <si>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</si>
  <si>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</si>
  <si>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</si>
  <si>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</si>
  <si>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</si>
  <si>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</si>
  <si>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</si>
  <si>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</si>
  <si>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</si>
  <si>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</si>
  <si>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</si>
  <si>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</si>
  <si>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</si>
  <si>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</si>
  <si>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</si>
  <si>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</si>
  <si>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</si>
  <si>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</si>
  <si>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</si>
  <si>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</si>
  <si>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</si>
  <si>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</si>
  <si>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</si>
  <si>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</si>
  <si>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</si>
  <si>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</si>
  <si>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</si>
  <si>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</si>
  <si>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</si>
  <si>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</si>
  <si>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</si>
  <si>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</si>
  <si>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</si>
  <si>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</si>
  <si>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</si>
  <si>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</si>
  <si>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</si>
  <si>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</si>
  <si>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</si>
  <si>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</si>
  <si>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</si>
  <si>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</si>
  <si>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</si>
  <si>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</si>
  <si>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</si>
  <si>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</si>
  <si>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</si>
  <si>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</si>
  <si>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</si>
  <si>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</si>
  <si>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</si>
  <si>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</si>
  <si>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</si>
  <si>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</si>
  <si>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</si>
  <si>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</si>
  <si>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</si>
  <si>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</si>
  <si>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</si>
  <si>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</si>
  <si>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</si>
  <si>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</si>
  <si>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</si>
  <si>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</si>
  <si>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</si>
  <si>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</si>
  <si>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</si>
  <si>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</si>
  <si>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</si>
  <si>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</si>
  <si>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</si>
  <si>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</si>
  <si>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</si>
  <si>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</si>
  <si>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</si>
  <si>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</si>
  <si>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</si>
  <si>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</si>
  <si>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</si>
  <si>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</si>
  <si>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</si>
  <si>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</si>
  <si>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</si>
  <si>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</si>
  <si>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</si>
  <si>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</si>
  <si>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</si>
  <si>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</si>
  <si>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</si>
  <si>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</si>
  <si>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</si>
  <si>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</si>
  <si>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</si>
  <si>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</si>
  <si>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</si>
  <si>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</si>
  <si>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</si>
  <si>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</si>
  <si>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</si>
  <si>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</si>
  <si>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</si>
  <si>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</si>
  <si>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</si>
  <si>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</si>
  <si>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</si>
  <si>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</si>
  <si>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</si>
  <si>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</si>
  <si>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</si>
  <si>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</si>
  <si>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</si>
  <si>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</si>
  <si>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</si>
  <si>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</si>
  <si>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</si>
  <si>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</si>
  <si>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</si>
  <si>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</si>
  <si>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</si>
  <si>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</si>
  <si>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</si>
  <si>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</si>
  <si>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</si>
  <si>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</si>
  <si>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</si>
  <si>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</si>
  <si>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</si>
  <si>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</si>
  <si>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</si>
  <si>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</si>
  <si>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</si>
  <si>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</si>
  <si>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</si>
  <si>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</si>
  <si>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</si>
  <si>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</si>
  <si>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</si>
  <si>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</si>
  <si>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</si>
  <si>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</si>
  <si>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</si>
  <si>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</si>
  <si>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</si>
  <si>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</si>
  <si>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</si>
  <si>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</si>
  <si>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</si>
  <si>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</si>
  <si>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</si>
  <si>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</si>
  <si>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</si>
  <si>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</si>
  <si>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</si>
  <si>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</si>
  <si>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</si>
  <si>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</si>
  <si>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</si>
  <si>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</si>
  <si>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Metric </t>
  </si>
  <si>
    <t>Total Price</t>
  </si>
  <si>
    <t>Count</t>
  </si>
  <si>
    <t xml:space="preserve">Unit Price </t>
  </si>
  <si>
    <t>Mean</t>
  </si>
  <si>
    <t>Median</t>
  </si>
  <si>
    <t>Min.</t>
  </si>
  <si>
    <t>Max.</t>
  </si>
  <si>
    <t>Std dev.</t>
  </si>
  <si>
    <t>Statistics table</t>
  </si>
  <si>
    <t>Q1</t>
  </si>
  <si>
    <t>Upper fence</t>
  </si>
  <si>
    <t>Q3</t>
  </si>
  <si>
    <t>IQR</t>
  </si>
  <si>
    <t>IQR Outlier Table</t>
  </si>
  <si>
    <t>Varibales</t>
  </si>
  <si>
    <t>Strength</t>
  </si>
  <si>
    <t xml:space="preserve">Score  </t>
  </si>
  <si>
    <t>Unit Price vs Total Price</t>
  </si>
  <si>
    <t>Quantity vs ItemsInCart</t>
  </si>
  <si>
    <t>UnitPrice vs ItemsInCart</t>
  </si>
  <si>
    <t>Strong Positive</t>
  </si>
  <si>
    <t>No Relationship</t>
  </si>
  <si>
    <t>Correlation Table</t>
  </si>
  <si>
    <t>Lower fence</t>
  </si>
  <si>
    <t>Outlier count</t>
  </si>
  <si>
    <t>Quantity vs Total price</t>
  </si>
  <si>
    <t>Total Revenue</t>
  </si>
  <si>
    <t>Revenue by Product</t>
  </si>
  <si>
    <t>Order Status</t>
  </si>
  <si>
    <t>Order Count</t>
  </si>
  <si>
    <t>Orders by Status</t>
  </si>
  <si>
    <t>Payment Method</t>
  </si>
  <si>
    <t>Revenue by Payment Method</t>
  </si>
  <si>
    <t>Referral Source</t>
  </si>
  <si>
    <t>Customer Count</t>
  </si>
  <si>
    <t>Customers by Referral Source</t>
  </si>
  <si>
    <t>No coupon</t>
  </si>
  <si>
    <t>Coupon Code</t>
  </si>
  <si>
    <t>No Coupon</t>
  </si>
  <si>
    <t>Coupons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</si>
</sst>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L145" sqref="L1:L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4320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4320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4320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4320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4320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4320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4320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4320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4320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4320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4320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4320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4320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4320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4320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4320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4320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4320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4320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4320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4320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4320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4320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4320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4320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4320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4320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4320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4320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4320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4320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4320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4320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4320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4320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4320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4320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4320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4320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4320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4320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4320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4320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4320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4320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4320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4320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4320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4320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4320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4320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4320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4320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4320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4320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4320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4320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4320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4320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4320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4320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4320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4320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4320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4320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4320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4320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4320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4320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4320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4320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4320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4320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4320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4320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4320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4320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4320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4320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4320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4320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4320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4320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4320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4320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4320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4320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4320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4320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4320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4320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4320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4320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4320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4320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4320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4320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4320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4320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4320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4320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4320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4320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4320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4320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4320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4320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4320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4320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4320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4320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4320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4320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4320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4320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4320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4320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4320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4320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4320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4320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4320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4320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4320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4320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4320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4320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4320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4320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4320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4320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4320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4320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4320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4320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4320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4320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4320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4320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4320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4320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4320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4320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4320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4320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4320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4320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4320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4320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4320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4320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4320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4320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4320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4320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4320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4320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4320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4320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4320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4320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4320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4320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4320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4320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4320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4320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4320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4320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4320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4320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4320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4320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4320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4320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4320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4320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4320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4320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4320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4320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4320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4320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4320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4320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4320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4320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4320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4320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4320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4320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4320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4320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4320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4320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4320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4320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4320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4320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4320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4320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4320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4320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4320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4320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4320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4320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4320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4320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4320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4320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4320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4320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4320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4320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4320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4320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4320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4320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4320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4320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4320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4320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4320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4320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4320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4320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4320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4320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4320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4320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4320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4320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4320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4320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4320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4320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4320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4320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4320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4320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4320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4320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4320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4320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4320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4320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4320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4320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4320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4320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4320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4320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4320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4320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4320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4320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4320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4320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4320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4320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4320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4320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4320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4320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4320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4320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4320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4320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4320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4320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4320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4320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4320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4320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4320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4320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4320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4320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4320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4320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4320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4320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4320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4320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4320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4320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4320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4320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4320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4320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4320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4320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4320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4320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4320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4320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4320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4320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4320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4320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4320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4320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4320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4320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4320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4320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4320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4320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"/>
  <sheetViews>
    <sheetView tabSelected="1" workbookViewId="0">
      <selection activeCell="L19" sqref="L19"/>
    </sheetView>
  </sheetViews>
  <sheetFormatPr defaultRowHeight="14.4" x14ac:dyDescent="0.3"/>
  <cols>
    <col min="1" max="1" width="20.33203125" bestFit="1" customWidth="1"/>
    <col min="2" max="2" width="9.6640625" bestFit="1" customWidth="1"/>
    <col min="3" max="3" width="14" bestFit="1" customWidth="1"/>
    <col min="6" max="6" width="11.33203125" bestFit="1" customWidth="1"/>
    <col min="9" max="9" width="13.6640625" bestFit="1" customWidth="1"/>
    <col min="10" max="10" width="14.33203125" bestFit="1" customWidth="1"/>
    <col min="12" max="12" width="12" bestFit="1" customWidth="1"/>
    <col min="13" max="13" width="11" bestFit="1" customWidth="1"/>
    <col min="15" max="15" width="15.109375" bestFit="1" customWidth="1"/>
    <col min="16" max="16" width="12.6640625" bestFit="1" customWidth="1"/>
  </cols>
  <sheetData>
    <row r="2" spans="1:16" x14ac:dyDescent="0.3">
      <c r="A2" s="3" t="s">
        <v>4292</v>
      </c>
      <c r="B2" s="3"/>
      <c r="C2" s="3"/>
      <c r="D2" s="3"/>
      <c r="F2" s="3" t="s">
        <v>4297</v>
      </c>
      <c r="G2" s="3"/>
      <c r="I2" s="10" t="s">
        <v>4311</v>
      </c>
      <c r="J2" s="11"/>
      <c r="L2" s="3" t="s">
        <v>4314</v>
      </c>
      <c r="M2" s="3"/>
      <c r="O2" s="3" t="s">
        <v>4316</v>
      </c>
      <c r="P2" s="3"/>
    </row>
    <row r="3" spans="1:16" x14ac:dyDescent="0.3">
      <c r="A3" s="6" t="s">
        <v>4283</v>
      </c>
      <c r="B3" s="6" t="s">
        <v>4284</v>
      </c>
      <c r="C3" s="6" t="s">
        <v>4286</v>
      </c>
      <c r="D3" s="6" t="s">
        <v>4</v>
      </c>
      <c r="F3" s="6" t="s">
        <v>4293</v>
      </c>
      <c r="G3" s="7">
        <f>QUARTILE(Sheet1!N2:N1201,1)</f>
        <v>410.52</v>
      </c>
      <c r="I3" s="6" t="s">
        <v>3</v>
      </c>
      <c r="J3" s="6" t="s">
        <v>4310</v>
      </c>
      <c r="L3" s="6" t="s">
        <v>4312</v>
      </c>
      <c r="M3" s="6" t="s">
        <v>4313</v>
      </c>
      <c r="O3" s="6" t="s">
        <v>4315</v>
      </c>
      <c r="P3" s="6" t="s">
        <v>4310</v>
      </c>
    </row>
    <row r="4" spans="1:16" ht="15" x14ac:dyDescent="0.3">
      <c r="A4" s="6" t="s">
        <v>4285</v>
      </c>
      <c r="B4" s="4">
        <f>COUNT(Sheet1!N2:N1201)</f>
        <v>1200</v>
      </c>
      <c r="C4" s="4">
        <f>COUNT(Sheet1!F2:F1201)</f>
        <v>1200</v>
      </c>
      <c r="D4" s="4">
        <f>COUNT(Sheet1!E2:E1201)</f>
        <v>1200</v>
      </c>
      <c r="F4" s="6" t="s">
        <v>4295</v>
      </c>
      <c r="G4" s="7">
        <f>QUARTILE(Sheet1!N2:N1201,3)</f>
        <v>1578.4749999999999</v>
      </c>
      <c r="I4" s="6" t="s">
        <v>2406</v>
      </c>
      <c r="J4" s="12">
        <f>SUMIF(Sheet1!D2:D1201,"Chair",Sheet1!N2:N1201)</f>
        <v>195620.11000000002</v>
      </c>
      <c r="L4" s="6" t="s">
        <v>3071</v>
      </c>
      <c r="M4" s="14">
        <f>COUNTIF(Sheet1!I2:I1201,"Cancelled")</f>
        <v>250</v>
      </c>
      <c r="O4" s="6" t="s">
        <v>3067</v>
      </c>
      <c r="P4" s="14">
        <f>SUMIF(Sheet1!H2:H1201,"Credit Card",Sheet1!N2:N1201)</f>
        <v>263847.62999999989</v>
      </c>
    </row>
    <row r="5" spans="1:16" ht="15" x14ac:dyDescent="0.3">
      <c r="A5" s="6" t="s">
        <v>4287</v>
      </c>
      <c r="B5" s="7">
        <f>AVERAGE(Sheet1!N2:N1201)</f>
        <v>1053.9683000000005</v>
      </c>
      <c r="C5" s="7">
        <f>AVERAGE(Sheet1!F2:F1201)</f>
        <v>356.41275000000007</v>
      </c>
      <c r="D5" s="7">
        <f>AVERAGE(Sheet1!E2:E1201)</f>
        <v>2.9458333333333333</v>
      </c>
      <c r="F5" s="6" t="s">
        <v>4296</v>
      </c>
      <c r="G5" s="7">
        <f>G4-G3</f>
        <v>1167.9549999999999</v>
      </c>
      <c r="I5" s="6" t="s">
        <v>2407</v>
      </c>
      <c r="J5" s="12">
        <f>SUMIF(Sheet1!D2:D1201,"Printer",Sheet1!N2:N1201)</f>
        <v>195612.60999999996</v>
      </c>
      <c r="L5" s="6" t="s">
        <v>3072</v>
      </c>
      <c r="M5" s="14">
        <f>COUNTIF(Sheet1!I2:I1201,"Returned")</f>
        <v>247</v>
      </c>
      <c r="O5" s="6" t="s">
        <v>3066</v>
      </c>
      <c r="P5" s="14">
        <f>SUMIF(Sheet1!H2:H1201,"Online",Sheet1!N2:N1201)</f>
        <v>262442.94000000012</v>
      </c>
    </row>
    <row r="6" spans="1:16" ht="15" x14ac:dyDescent="0.3">
      <c r="A6" s="6" t="s">
        <v>4288</v>
      </c>
      <c r="B6" s="7">
        <f>MEDIAN(Sheet1!N2:N1201)</f>
        <v>823.61500000000001</v>
      </c>
      <c r="C6" s="7">
        <f>MEDIAN(Sheet1!F2:F1201)</f>
        <v>364.21</v>
      </c>
      <c r="D6" s="4">
        <f>MEDIAN(Sheet1!E2:E1201)</f>
        <v>3</v>
      </c>
      <c r="F6" s="6" t="s">
        <v>4307</v>
      </c>
      <c r="G6" s="7">
        <f>G3-1.5*G5</f>
        <v>-1341.4124999999999</v>
      </c>
      <c r="I6" s="6" t="s">
        <v>2408</v>
      </c>
      <c r="J6" s="8">
        <f>SUMIF(Sheet1!D2:D1201,"Laptop",Sheet1!N2:N1201)</f>
        <v>192126.55999999994</v>
      </c>
      <c r="L6" s="6" t="s">
        <v>3074</v>
      </c>
      <c r="M6" s="14">
        <f>COUNTIF(Sheet1!I2:I1201,"Pending")</f>
        <v>237</v>
      </c>
      <c r="O6" s="6" t="s">
        <v>3069</v>
      </c>
      <c r="P6" s="4">
        <f>SUMIF(Sheet1!H2:H1201,"Cash",Sheet1!N2:N1201)</f>
        <v>259786.28999999992</v>
      </c>
    </row>
    <row r="7" spans="1:16" x14ac:dyDescent="0.3">
      <c r="A7" s="6" t="s">
        <v>4289</v>
      </c>
      <c r="B7" s="7">
        <f>MIN(Sheet1!N2:N1201)</f>
        <v>11.39</v>
      </c>
      <c r="C7" s="7">
        <f>MIN(Sheet1!F2:F1201)</f>
        <v>11.39</v>
      </c>
      <c r="D7" s="4">
        <f>MIN(Sheet1!E2:E1201)</f>
        <v>1</v>
      </c>
      <c r="F7" s="6" t="s">
        <v>4294</v>
      </c>
      <c r="G7" s="7">
        <f>G4+1.5*G5</f>
        <v>3330.4074999999998</v>
      </c>
      <c r="I7" s="6" t="s">
        <v>2405</v>
      </c>
      <c r="J7" s="13">
        <f>SUMIF(Sheet1!D2:D1201,"Tablet",Sheet1!N2:N1201)</f>
        <v>186568.95000000007</v>
      </c>
      <c r="L7" s="6" t="s">
        <v>3070</v>
      </c>
      <c r="M7" s="4">
        <f>COUNTIF(Sheet1!I2:I1201,"Shipped")</f>
        <v>235</v>
      </c>
      <c r="O7" s="6" t="s">
        <v>3068</v>
      </c>
      <c r="P7" s="4">
        <f>SUMIF(Sheet1!H2:H1201,"Gift Card",Sheet1!N2:N1201)</f>
        <v>246323.9200000001</v>
      </c>
    </row>
    <row r="8" spans="1:16" ht="15" x14ac:dyDescent="0.3">
      <c r="A8" s="6" t="s">
        <v>4290</v>
      </c>
      <c r="B8" s="7">
        <f>MAX(Sheet1!N2:N1201)</f>
        <v>3456.4</v>
      </c>
      <c r="C8" s="7">
        <f>MAX(Sheet1!F2:F1201)</f>
        <v>699.93</v>
      </c>
      <c r="D8" s="4">
        <f>MAX(Sheet1!E2:E1201)</f>
        <v>5</v>
      </c>
      <c r="F8" s="6" t="s">
        <v>4308</v>
      </c>
      <c r="G8" s="4">
        <f>COUNTIF(Sheet1!N2:N1201,"&gt;"&amp;G7)</f>
        <v>8</v>
      </c>
      <c r="I8" s="6" t="s">
        <v>2403</v>
      </c>
      <c r="J8" s="8">
        <f>SUMIF(Sheet1!D2:D1201,"Monitor",Sheet1!N2:N1201)</f>
        <v>175651.40999999997</v>
      </c>
      <c r="L8" s="6" t="s">
        <v>3073</v>
      </c>
      <c r="M8" s="14">
        <f>COUNTIF(Sheet1!I2:I1201,"Delivered")</f>
        <v>231</v>
      </c>
      <c r="O8" s="6" t="s">
        <v>3065</v>
      </c>
      <c r="P8" s="4">
        <f>SUMIF(Sheet1!H2:H1201,"Debit Card",Sheet1!N2:N1201)</f>
        <v>232361.17999999996</v>
      </c>
    </row>
    <row r="9" spans="1:16" x14ac:dyDescent="0.3">
      <c r="A9" s="6" t="s">
        <v>4291</v>
      </c>
      <c r="B9" s="7">
        <f>STDEV(Sheet1!N2:N1201)</f>
        <v>819.85655836464559</v>
      </c>
      <c r="C9" s="7">
        <f>STDEV(Sheet1!F2:F1201)</f>
        <v>197.17714641491236</v>
      </c>
      <c r="D9" s="7">
        <f>STDEV(Sheet1!E2:E1201)</f>
        <v>1.4075570987983175</v>
      </c>
      <c r="I9" s="6" t="s">
        <v>2409</v>
      </c>
      <c r="J9" s="8">
        <f>SUMIF(Sheet1!D2:D1201,"Desk",Sheet1!N2:N1201)</f>
        <v>167459.93</v>
      </c>
    </row>
    <row r="10" spans="1:16" x14ac:dyDescent="0.3">
      <c r="I10" s="6" t="s">
        <v>2404</v>
      </c>
      <c r="J10" s="8">
        <f>SUMIF(Sheet1!D2:D1201,"Phone",Sheet1!N2:N1201)</f>
        <v>151722.39000000001</v>
      </c>
    </row>
    <row r="12" spans="1:16" x14ac:dyDescent="0.3">
      <c r="A12" s="3" t="s">
        <v>4306</v>
      </c>
      <c r="B12" s="3"/>
      <c r="C12" s="3"/>
      <c r="I12" s="10" t="s">
        <v>4319</v>
      </c>
      <c r="J12" s="11"/>
      <c r="L12" s="3" t="s">
        <v>4323</v>
      </c>
      <c r="M12" s="3"/>
    </row>
    <row r="13" spans="1:16" x14ac:dyDescent="0.3">
      <c r="A13" s="6" t="s">
        <v>4298</v>
      </c>
      <c r="B13" s="6" t="s">
        <v>4300</v>
      </c>
      <c r="C13" s="6" t="s">
        <v>4299</v>
      </c>
      <c r="I13" s="6" t="s">
        <v>4317</v>
      </c>
      <c r="J13" s="6" t="s">
        <v>4318</v>
      </c>
      <c r="L13" s="6" t="s">
        <v>4321</v>
      </c>
      <c r="M13" s="6" t="s">
        <v>4313</v>
      </c>
    </row>
    <row r="14" spans="1:16" ht="15" x14ac:dyDescent="0.35">
      <c r="A14" s="6" t="s">
        <v>4301</v>
      </c>
      <c r="B14" s="9">
        <f>CORREL(Sheet1!F2:F1201,Sheet1!N2:N1201)</f>
        <v>0.717081089263781</v>
      </c>
      <c r="C14" s="4" t="s">
        <v>4304</v>
      </c>
      <c r="I14" s="6" t="s">
        <v>4278</v>
      </c>
      <c r="J14" s="15">
        <f>COUNTIF(Sheet1!M2:M1201,"Instagram")</f>
        <v>259</v>
      </c>
      <c r="L14" s="6" t="s">
        <v>4276</v>
      </c>
      <c r="M14" s="14">
        <f>COUNTIF(Sheet1!L2:L1201,"FREESHIP")</f>
        <v>313</v>
      </c>
    </row>
    <row r="15" spans="1:16" ht="15" x14ac:dyDescent="0.3">
      <c r="A15" s="6" t="s">
        <v>4309</v>
      </c>
      <c r="B15" s="9">
        <f>CORREL(Sheet1!E2:E1201,Sheet1!N2:N1201)</f>
        <v>0.61525136334670683</v>
      </c>
      <c r="C15" s="4" t="s">
        <v>4304</v>
      </c>
      <c r="I15" s="6" t="s">
        <v>4280</v>
      </c>
      <c r="J15" s="5">
        <f>COUNTIF(Sheet1!M2:M1201,"Email")</f>
        <v>250</v>
      </c>
      <c r="L15" s="6" t="s">
        <v>4277</v>
      </c>
      <c r="M15" s="14">
        <f>COUNTIF(Sheet1!L2:L1201,"WINTER15")</f>
        <v>292</v>
      </c>
    </row>
    <row r="16" spans="1:16" ht="15" x14ac:dyDescent="0.3">
      <c r="A16" s="6" t="s">
        <v>4302</v>
      </c>
      <c r="B16" s="9">
        <f>CORREL(Sheet1!E2:E1201,Sheet1!K2:K1201)</f>
        <v>0.65006122572385383</v>
      </c>
      <c r="C16" s="4" t="s">
        <v>4304</v>
      </c>
      <c r="I16" s="6" t="s">
        <v>4282</v>
      </c>
      <c r="J16" s="5">
        <f>COUNTIF(Sheet1!M2:M1201,"Google")</f>
        <v>241</v>
      </c>
      <c r="L16" s="6" t="s">
        <v>4275</v>
      </c>
      <c r="M16" s="14">
        <f>COUNTIF(Sheet1!L2:L1201,"SAVE10")</f>
        <v>286</v>
      </c>
    </row>
    <row r="17" spans="1:13" ht="15" x14ac:dyDescent="0.3">
      <c r="A17" s="6" t="s">
        <v>4303</v>
      </c>
      <c r="B17" s="9">
        <f>CORREL(Sheet1!F2:F1201,Sheet1!K2:K1201)</f>
        <v>6.0215368110683881E-4</v>
      </c>
      <c r="C17" s="4" t="s">
        <v>4305</v>
      </c>
      <c r="I17" s="6" t="s">
        <v>4281</v>
      </c>
      <c r="J17" s="5">
        <f>COUNTIF(Sheet1!M2:M1201,"Facebook")</f>
        <v>228</v>
      </c>
      <c r="L17" s="6" t="s">
        <v>4322</v>
      </c>
      <c r="M17" s="14">
        <f>COUNTIF(Sheet1!L2:L1201,"No coupon")</f>
        <v>309</v>
      </c>
    </row>
    <row r="18" spans="1:13" x14ac:dyDescent="0.3">
      <c r="I18" s="6" t="s">
        <v>4279</v>
      </c>
      <c r="J18" s="5">
        <f>COUNTIF(Sheet1!M2:M1201,"Referral")</f>
        <v>222</v>
      </c>
    </row>
  </sheetData>
  <mergeCells count="8">
    <mergeCell ref="A2:D2"/>
    <mergeCell ref="F2:G2"/>
    <mergeCell ref="A12:C12"/>
    <mergeCell ref="I2:J2"/>
    <mergeCell ref="L2:M2"/>
    <mergeCell ref="O2:P2"/>
    <mergeCell ref="I12:J12"/>
    <mergeCell ref="L12:M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</cp:lastModifiedBy>
  <dcterms:created xsi:type="dcterms:W3CDTF">2025-06-21T13:19:12Z</dcterms:created>
  <dcterms:modified xsi:type="dcterms:W3CDTF">2026-06-03T23:33:14Z</dcterms:modified>
</cp:coreProperties>
</file>